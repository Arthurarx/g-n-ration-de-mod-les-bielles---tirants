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ctrlProps/ctrlProp3.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Arthur De Bigault\Desktop\Travail Arthur\Génération modèle bielles-tirants\"/>
    </mc:Choice>
  </mc:AlternateContent>
  <xr:revisionPtr revIDLastSave="0" documentId="13_ncr:1_{1130674D-A44E-4908-B7B3-671FC377CD72}" xr6:coauthVersionLast="47" xr6:coauthVersionMax="47" xr10:uidLastSave="{00000000-0000-0000-0000-000000000000}"/>
  <bookViews>
    <workbookView xWindow="-10290" yWindow="-16320" windowWidth="29040" windowHeight="15720" firstSheet="1" activeTab="5" xr2:uid="{00000000-000D-0000-FFFF-FFFF00000000}"/>
  </bookViews>
  <sheets>
    <sheet name="Notice" sheetId="1" r:id="rId1"/>
    <sheet name="Input data" sheetId="2" r:id="rId2"/>
    <sheet name="Armatures" sheetId="3" r:id="rId3"/>
    <sheet name="Bielles" sheetId="7" r:id="rId4"/>
    <sheet name="TMP_TIRANTS" sheetId="4" r:id="rId5"/>
    <sheet name="Input Sofistik" sheetId="9" r:id="rId6"/>
    <sheet name="TMP_BIELLES" sheetId="8" r:id="rId7"/>
    <sheet name="TMP_BT" sheetId="10" r:id="rId8"/>
    <sheet name="python_traction" sheetId="6" state="hidden" r:id="rId9"/>
  </sheets>
  <definedNames>
    <definedName name="_xleta.XLOOKUP" hidden="1" xlm="1">#NAME?</definedName>
    <definedName name="alphaULS" localSheetId="1">'Input data'!$C$74</definedName>
    <definedName name="ax_pile" localSheetId="1">'Input data'!#REF!</definedName>
    <definedName name="ay_pile" localSheetId="1">'Input data'!#REF!</definedName>
    <definedName name="b_pier" localSheetId="1">'Input data'!#REF!</definedName>
    <definedName name="b_pilecap" localSheetId="1">'Input data'!$C$12</definedName>
    <definedName name="beff_pilecap" localSheetId="1">'Input data'!$C$16</definedName>
    <definedName name="calcul" localSheetId="1">'Input data'!$Y$72</definedName>
    <definedName name="check_sigma1" localSheetId="1">'Input data'!#REF!</definedName>
    <definedName name="check_sigma2" localSheetId="1">'Input data'!#REF!</definedName>
    <definedName name="check_sigma3" localSheetId="1">'Input data'!#REF!</definedName>
    <definedName name="D_pile" localSheetId="1">'Input data'!$C$19</definedName>
    <definedName name="d_pilecap" localSheetId="1">'Input data'!$C$15</definedName>
    <definedName name="dp_pilecap" localSheetId="1">'Input data'!#REF!</definedName>
    <definedName name="dx" localSheetId="1">'Input data'!$V$18</definedName>
    <definedName name="FAB_sigma1" localSheetId="1">'Input data'!#REF!</definedName>
    <definedName name="fcd_ACCIDENTAL" localSheetId="1">'Input data'!$C$80</definedName>
    <definedName name="fcd_SEISMIC" localSheetId="1">'Input data'!$C$79</definedName>
    <definedName name="fcd_SERVICE" localSheetId="1">'Input data'!$C$81</definedName>
    <definedName name="fcd_ULS" localSheetId="1">'Input data'!$C$78</definedName>
    <definedName name="fck" localSheetId="1">'Input data'!$C$60</definedName>
    <definedName name="fctm" localSheetId="1">'Input data'!$C$61</definedName>
    <definedName name="fyd_ACCIDENTAL" localSheetId="1">'Input data'!$C$87</definedName>
    <definedName name="fyd_SEISMIC" localSheetId="1">'Input data'!$C$86</definedName>
    <definedName name="fyd_SERVICE" localSheetId="1">'Input data'!$C$88</definedName>
    <definedName name="fyd_ULS" localSheetId="1">'Input data'!$C$85</definedName>
    <definedName name="fyk" localSheetId="1">'Input data'!$C$62</definedName>
    <definedName name="gammaC_ACCIDENTAL" localSheetId="1">'Input data'!$C$68</definedName>
    <definedName name="gammaC_SEISMIC" localSheetId="1">'Input data'!$C$67</definedName>
    <definedName name="gammaC_SERVICE" localSheetId="1">'Input data'!$C$69</definedName>
    <definedName name="gammaC_ULS" localSheetId="1">'Input data'!$C$66</definedName>
    <definedName name="gammaS_ACCIDENTAL" localSheetId="1">'Input data'!$C$72</definedName>
    <definedName name="gammaS_SEISMIC" localSheetId="1">'Input data'!$C$71</definedName>
    <definedName name="gammaS_SERVICE" localSheetId="1">'Input data'!$C$73</definedName>
    <definedName name="gammaS_ULS" localSheetId="1">'Input data'!$C$70</definedName>
    <definedName name="h_pilecap" localSheetId="1">'Input data'!$C$14</definedName>
    <definedName name="l_pier" localSheetId="1">'Input data'!#REF!</definedName>
    <definedName name="l_pilecap" localSheetId="1">'Input data'!$C$13</definedName>
    <definedName name="lambda_sigma1" localSheetId="1">'Input data'!#REF!</definedName>
    <definedName name="Matrix" localSheetId="1">'Input data'!#REF!,'Input data'!#REF!,'Input data'!$C$12:$C$16,'Input data'!#REF!,'Input data'!$C$19:$C$20,'Input data'!$C$39:$C$39,'Input data'!#REF!,'Input data'!#REF!,'Input data'!#REF!,'Input data'!$C$60:$C$62,'Input data'!$C$66:$C$74,'Input data'!$C$78:$C$81,'Input data'!$C$85:$C$88,'Input data'!#REF!,'Input data'!#REF!,'Input data'!#REF!,'Input data'!#REF!,'Input data'!#REF!,'Input data'!#REF!,'Input data'!#REF!,'Input data'!#REF!,'Input data'!$B$186:$Q$187,'Input data'!#REF!,'Input data'!#REF!,'Input data'!$B$176:$G$196,'Input data'!#REF!,'Input data'!#REF!,'Input data'!#REF!,'Input data'!#REF!,'Input data'!#REF!,'Input data'!#REF!</definedName>
    <definedName name="Matrix_sigma1" localSheetId="1">'Input data'!$C$255:$C$276</definedName>
    <definedName name="Matrix_sigma2" localSheetId="1">'Input data'!#REF!</definedName>
    <definedName name="Matrix_sigma3" localSheetId="1">'Input data'!$C$319:$C$327</definedName>
    <definedName name="Max_sigma1" localSheetId="1">'Input data'!#REF!</definedName>
    <definedName name="Max_sigma2" localSheetId="1">'Input data'!#REF!</definedName>
    <definedName name="Max_sigma3" localSheetId="1">'Input data'!#REF!</definedName>
    <definedName name="ModelType" localSheetId="1">'Input data'!$B$54</definedName>
    <definedName name="nb_decomp" localSheetId="1">'Input data'!$W$18</definedName>
    <definedName name="nb_pile" localSheetId="1">'Input data'!$C$20</definedName>
    <definedName name="Ny" localSheetId="1">'Input data'!#REF!</definedName>
    <definedName name="PIER" localSheetId="1">'Input data'!#REF!</definedName>
    <definedName name="Pile_Matrix" localSheetId="1">'Input data'!#REF!</definedName>
    <definedName name="PILECAP" localSheetId="1">'Input data'!#REF!</definedName>
    <definedName name="PrintZone" localSheetId="1">'Input data'!$B$2:$G$20,'Input data'!$J$1:$Q$96,'Input data'!$B$59:$G$89,'Input data'!$B$52:$G$52,'Input data'!$B$53:$G$55,'Input data'!$B$98:$G$141,'Input data'!#REF!,'Input data'!$B$143:$G$151,'Input data'!#REF!,'Input data'!$B$160:$G$171,'Input data'!$B$173:$G$196,'Input data'!#REF!,'Input data'!#REF!,'Input data'!$B$197:$G$204,'Input data'!$C$204:$F$204,'Input data'!$C$205:$F$205,'Input data'!$B$207:$G$328</definedName>
    <definedName name="R_Pile" localSheetId="1">'Input data'!#REF!</definedName>
    <definedName name="Rmax_ACCIDENTAL" localSheetId="1">'Input data'!#REF!</definedName>
    <definedName name="Rmax_SEISMIC" localSheetId="1">'Input data'!#REF!</definedName>
    <definedName name="Rmax_SERVICE" localSheetId="1">'Input data'!#REF!</definedName>
    <definedName name="Rmax_ULS" localSheetId="1">'Input data'!#REF!</definedName>
    <definedName name="Rmin_ACCIDENTAL" localSheetId="1">'Input data'!#REF!</definedName>
    <definedName name="Rmin_SEISMIC" localSheetId="1">'Input data'!#REF!</definedName>
    <definedName name="Rmin_SERVICE" localSheetId="1">'Input data'!#REF!</definedName>
    <definedName name="Rmin_ULS" localSheetId="1">'Input data'!#REF!</definedName>
    <definedName name="sigma1lim_ACCIDENTAL" localSheetId="1">'Input data'!#REF!</definedName>
    <definedName name="sigma1lim_SEISMIC" localSheetId="1">'Input data'!#REF!</definedName>
    <definedName name="sigma1lim_SERVICE" localSheetId="1">'Input data'!#REF!</definedName>
    <definedName name="sigma1lim_ULS" localSheetId="1">'Input data'!#REF!</definedName>
    <definedName name="sigma2lim_ACCIDENTAL" localSheetId="1">'Input data'!#REF!</definedName>
    <definedName name="sigma2lim_SEISMIC" localSheetId="1">'Input data'!#REF!</definedName>
    <definedName name="sigma2lim_SERVICE" localSheetId="1">'Input data'!#REF!</definedName>
    <definedName name="sigma2lim_ULS" localSheetId="1">'Input data'!#REF!</definedName>
    <definedName name="sigma3lim_ACCIDENTAL" localSheetId="1">'Input data'!#REF!</definedName>
    <definedName name="sigma3lim_SEISMIC" localSheetId="1">'Input data'!#REF!</definedName>
    <definedName name="sigma3lim_SERVICE" localSheetId="1">'Input data'!#REF!</definedName>
    <definedName name="sigma3lim_ULS" localSheetId="1">'Input data'!#REF!</definedName>
    <definedName name="theta_sigma1" localSheetId="1">'Input data'!$C$255</definedName>
    <definedName name="x_pile" localSheetId="1">'Input data'!$C$39:$C$39</definedName>
    <definedName name="y_pile" localSheetId="1">'Input data'!#REF!</definedName>
    <definedName name="Z_pilecap" localSheetId="1">'Input data'!#REF!</definedName>
    <definedName name="_xlnm.Print_Area" localSheetId="1">'Input data'!$A$1:$U$348</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2" i="8" l="1" a="1"/>
  <c r="AF2" i="8" s="1"/>
  <c r="C19" i="9" a="1"/>
  <c r="C19" i="9" s="1"/>
  <c r="C18" i="9"/>
  <c r="C17" i="9" a="1"/>
  <c r="C17" i="9" s="1"/>
  <c r="C16" i="9"/>
  <c r="C12" i="9" a="1"/>
  <c r="C12" i="9" s="1"/>
  <c r="B55" i="2"/>
  <c r="D55" i="2"/>
  <c r="E55" i="2"/>
  <c r="B26" i="2" a="1"/>
  <c r="B26" i="2" s="1"/>
  <c r="E26" i="2"/>
  <c r="F26" i="2"/>
  <c r="B48" i="2" a="1"/>
  <c r="B48" i="2" s="1"/>
  <c r="E48" i="2"/>
  <c r="B27" i="2" a="1"/>
  <c r="B27" i="2" s="1"/>
  <c r="E27" i="2"/>
  <c r="F27" i="2"/>
  <c r="D39" i="2" l="1"/>
  <c r="B40" i="2" a="1"/>
  <c r="B40" i="2" s="1"/>
  <c r="T2" i="8" a="1"/>
  <c r="T2" i="8" s="1"/>
  <c r="N2" i="8" a="1"/>
  <c r="N2" i="8" s="1"/>
  <c r="E8" i="9"/>
  <c r="E10" i="9"/>
  <c r="C10" i="9" a="1"/>
  <c r="C10" i="9" s="1"/>
  <c r="E54" i="2" l="1"/>
  <c r="C8" i="9" a="1"/>
  <c r="C8" i="9" s="1"/>
  <c r="C7" i="9" a="1"/>
  <c r="C7" i="9" s="1"/>
  <c r="E11" i="9" a="1"/>
  <c r="E11" i="9" s="1"/>
  <c r="E9" i="9" a="1"/>
  <c r="E9" i="9" s="1"/>
  <c r="E7" i="9"/>
  <c r="E6" i="9"/>
  <c r="E5" i="9"/>
  <c r="E4" i="9"/>
  <c r="E3" i="9"/>
  <c r="E2" i="9"/>
  <c r="B34" i="2" a="1"/>
  <c r="B34" i="2" s="1"/>
  <c r="F34" i="2"/>
  <c r="E34" i="2"/>
  <c r="B39" i="2" a="1"/>
  <c r="B39" i="2" s="1"/>
  <c r="C6" i="9" s="1"/>
  <c r="B47" i="2" a="1"/>
  <c r="B47" i="2" s="1"/>
  <c r="E47" i="2"/>
  <c r="B53" i="6"/>
  <c r="B52" i="6"/>
  <c r="B51" i="6"/>
  <c r="B46" i="6"/>
  <c r="D45" i="6"/>
  <c r="C45" i="6"/>
  <c r="B45" i="6"/>
  <c r="E44" i="6"/>
  <c r="D44" i="6"/>
  <c r="C44" i="6"/>
  <c r="E43" i="6"/>
  <c r="H39" i="6"/>
  <c r="F39" i="6"/>
  <c r="B39" i="6"/>
  <c r="B24" i="6" s="1"/>
  <c r="H38" i="6"/>
  <c r="F38" i="6"/>
  <c r="B38" i="6"/>
  <c r="D23" i="6" s="1"/>
  <c r="H34" i="6"/>
  <c r="F34" i="6"/>
  <c r="F24" i="6" s="1"/>
  <c r="C34" i="6"/>
  <c r="B34" i="6"/>
  <c r="H33" i="6"/>
  <c r="F33" i="6"/>
  <c r="C33" i="6"/>
  <c r="F29" i="6"/>
  <c r="E29" i="6"/>
  <c r="D29" i="6"/>
  <c r="C29" i="6"/>
  <c r="G28" i="6"/>
  <c r="F28" i="6"/>
  <c r="D28" i="6"/>
  <c r="C28" i="6"/>
  <c r="G24" i="6"/>
  <c r="E24" i="6"/>
  <c r="G23" i="6"/>
  <c r="F23" i="6"/>
  <c r="B23" i="6"/>
  <c r="G22" i="6"/>
  <c r="F22" i="6"/>
  <c r="E22" i="6"/>
  <c r="D22" i="6"/>
  <c r="C22" i="6"/>
  <c r="G21" i="6"/>
  <c r="F21" i="6"/>
  <c r="C21" i="6"/>
  <c r="B21" i="6"/>
  <c r="F20" i="6"/>
  <c r="C20" i="6"/>
  <c r="B20" i="6"/>
  <c r="F16" i="6"/>
  <c r="C16" i="6"/>
  <c r="F15" i="6"/>
  <c r="E15" i="6"/>
  <c r="F14" i="6"/>
  <c r="C10" i="6"/>
  <c r="C9" i="6"/>
  <c r="B9" i="6"/>
  <c r="C8" i="6"/>
  <c r="B8" i="6"/>
  <c r="C7" i="6"/>
  <c r="B7" i="6"/>
  <c r="C6" i="6"/>
  <c r="E20" i="6" s="1"/>
  <c r="E28" i="6" s="1"/>
  <c r="B6" i="6"/>
  <c r="B22" i="6" s="1"/>
  <c r="C5" i="6"/>
  <c r="E16" i="6" s="1"/>
  <c r="B5" i="6"/>
  <c r="D16" i="6" s="1"/>
  <c r="C4" i="6"/>
  <c r="C24" i="6" s="1"/>
  <c r="B4" i="6"/>
  <c r="B16" i="6" s="1"/>
  <c r="C3" i="6"/>
  <c r="E21" i="6" s="1"/>
  <c r="B3" i="6"/>
  <c r="B33" i="6" s="1"/>
  <c r="B54" i="2"/>
  <c r="C87" i="2"/>
  <c r="C86" i="2"/>
  <c r="C85" i="2"/>
  <c r="C80" i="2"/>
  <c r="C79" i="2"/>
  <c r="C78" i="2"/>
  <c r="C73" i="2"/>
  <c r="C88" i="2" s="1"/>
  <c r="C69" i="2"/>
  <c r="C81" i="2" s="1"/>
  <c r="C19" i="2"/>
  <c r="D29" i="2"/>
  <c r="C14" i="2" s="1"/>
  <c r="C29" i="2"/>
  <c r="C12" i="2" s="1"/>
  <c r="B29" i="2" a="1"/>
  <c r="B29" i="2" s="1"/>
  <c r="F28" i="2"/>
  <c r="E28" i="2"/>
  <c r="B28" i="2" a="1"/>
  <c r="B28" i="2" s="1"/>
  <c r="F25" i="2"/>
  <c r="E25" i="2"/>
  <c r="B25" i="2" a="1"/>
  <c r="B25" i="2" s="1"/>
  <c r="C13" i="9" l="1"/>
  <c r="D47" i="2"/>
  <c r="D48" i="2"/>
  <c r="C9" i="9"/>
  <c r="H3" i="9" s="1"/>
  <c r="E40" i="2"/>
  <c r="F40" i="2"/>
  <c r="Z2" i="8" a="1"/>
  <c r="Z2" i="8" s="1"/>
  <c r="C5" i="9"/>
  <c r="C4" i="9"/>
  <c r="C3" i="9"/>
  <c r="E39" i="2"/>
  <c r="F39" i="2"/>
  <c r="F47" i="2"/>
  <c r="C16" i="2"/>
  <c r="C15" i="2"/>
  <c r="C14" i="6"/>
  <c r="D20" i="6"/>
  <c r="C23" i="6"/>
  <c r="B14" i="6"/>
  <c r="D14" i="6"/>
  <c r="D24" i="6"/>
  <c r="B10" i="6"/>
  <c r="E14" i="6"/>
  <c r="E23" i="6"/>
  <c r="C15" i="6"/>
  <c r="D21" i="6"/>
  <c r="B15" i="6"/>
  <c r="D15" i="6"/>
  <c r="B54" i="6" l="1"/>
  <c r="C2" i="9"/>
  <c r="H2" i="8" a="1"/>
  <c r="H2" i="8" s="1"/>
  <c r="B2" i="8" a="1"/>
  <c r="B2" i="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<sst xmlns="http://schemas.openxmlformats.org/spreadsheetml/2006/main" count="404" uniqueCount="243">
  <si>
    <t>NOTICE</t>
  </si>
  <si>
    <t/>
  </si>
  <si>
    <t>Author</t>
  </si>
  <si>
    <t>de Bigault de Granrut Arthur</t>
  </si>
  <si>
    <t>Date</t>
  </si>
  <si>
    <t>Please note that users are responsable for the sheet and not the author.
Author name is precised only for information (and questions if any)</t>
  </si>
  <si>
    <t xml:space="preserve">Aim of the Excel Sheet : </t>
  </si>
  <si>
    <t xml:space="preserve">Verification of a STM of a pilecap case on 2 piles located in a single direction, supporting a pier. Study only a 2d model </t>
  </si>
  <si>
    <t>Input</t>
  </si>
  <si>
    <t>Output</t>
  </si>
  <si>
    <t>Verification of nodes size and geometry, reinforcement design, strut design.</t>
  </si>
  <si>
    <t>Reference code</t>
  </si>
  <si>
    <t>Eurocode 2</t>
  </si>
  <si>
    <t>Created for</t>
  </si>
  <si>
    <t>Limits of the Excel sheet</t>
  </si>
  <si>
    <t>to be completed</t>
  </si>
  <si>
    <t>Utilisation</t>
  </si>
  <si>
    <t xml:space="preserve">RAPPEL : L'UTILISATEUR DE CETTE FEUILLE EST RESPONSABLE DES RESULTATS </t>
  </si>
  <si>
    <t>MODELE BIELLE ET TIRANT</t>
  </si>
  <si>
    <t xml:space="preserve">Suivant  </t>
  </si>
  <si>
    <t>EUROCODE
Annexe Française</t>
  </si>
  <si>
    <t xml:space="preserve">Cette feuille est utilisée pour initialiser la géométrie du modèle, choisir les propriétés du béton, et choisir le cas de chargement </t>
  </si>
  <si>
    <t xml:space="preserve">I-Propriétés gométriques </t>
  </si>
  <si>
    <t>Contour externe</t>
  </si>
  <si>
    <t>n° point</t>
  </si>
  <si>
    <t>x (m)</t>
  </si>
  <si>
    <t>z (m)</t>
  </si>
  <si>
    <t xml:space="preserve">Description </t>
  </si>
  <si>
    <t>Référence</t>
  </si>
  <si>
    <t>Observation</t>
  </si>
  <si>
    <t>Insérer au dessus de cette ligne</t>
  </si>
  <si>
    <t>Dimension de la structure</t>
  </si>
  <si>
    <t xml:space="preserve">Notation </t>
  </si>
  <si>
    <t xml:space="preserve">Valeur </t>
  </si>
  <si>
    <t xml:space="preserve">Unité </t>
  </si>
  <si>
    <t>Description</t>
  </si>
  <si>
    <t xml:space="preserve">Référence </t>
  </si>
  <si>
    <t xml:space="preserve">Observations </t>
  </si>
  <si>
    <t>l</t>
  </si>
  <si>
    <t>m</t>
  </si>
  <si>
    <t xml:space="preserve">Longueur de la structure </t>
  </si>
  <si>
    <t>Cf. figure 1</t>
  </si>
  <si>
    <t>b</t>
  </si>
  <si>
    <t xml:space="preserve">Largeur de la semelle </t>
  </si>
  <si>
    <t>Cf.  figure 1</t>
  </si>
  <si>
    <t>h</t>
  </si>
  <si>
    <t xml:space="preserve">Hauteur de la semelle </t>
  </si>
  <si>
    <t>cf Figure 1</t>
  </si>
  <si>
    <t>e</t>
  </si>
  <si>
    <t>Distance des armatures aux bords du modèle</t>
  </si>
  <si>
    <t>beff</t>
  </si>
  <si>
    <t>Largeur équivalente de la semelle</t>
  </si>
  <si>
    <t xml:space="preserve">Dimensions des pieux </t>
  </si>
  <si>
    <t>D</t>
  </si>
  <si>
    <t xml:space="preserve">Diamètre du pieu </t>
  </si>
  <si>
    <t>Φ</t>
  </si>
  <si>
    <t>largeur efficace du pieu</t>
  </si>
  <si>
    <t xml:space="preserve">cf Figure 1 </t>
  </si>
  <si>
    <t>nb</t>
  </si>
  <si>
    <t>unités</t>
  </si>
  <si>
    <t>Nombre de pieux</t>
  </si>
  <si>
    <t xml:space="preserve">Nombre total de pieux </t>
  </si>
  <si>
    <t>Répartition des pieux</t>
  </si>
  <si>
    <t xml:space="preserve">Changer le z d'un point si besoin </t>
  </si>
  <si>
    <t>bord gauche des pieux</t>
  </si>
  <si>
    <t>bord droit des pieux</t>
  </si>
  <si>
    <t>Colonne3</t>
  </si>
  <si>
    <t>Répartition des points d'appui des supports</t>
  </si>
  <si>
    <t>Notation</t>
  </si>
  <si>
    <t>Colonne1</t>
  </si>
  <si>
    <t xml:space="preserve">II Propriétés matériau </t>
  </si>
  <si>
    <t>Unité</t>
  </si>
  <si>
    <t>fck</t>
  </si>
  <si>
    <t>MPa</t>
  </si>
  <si>
    <t xml:space="preserve">Résistance caractéristique du béton à la compression </t>
  </si>
  <si>
    <t>Tableau 3.1 EC2-1-1</t>
  </si>
  <si>
    <t>fctm</t>
  </si>
  <si>
    <t xml:space="preserve">Résistance moyenne du béton à la traction </t>
  </si>
  <si>
    <t>fyk</t>
  </si>
  <si>
    <t xml:space="preserve">Résistance caractéristique elastique de l'acier de béton armé </t>
  </si>
  <si>
    <t>§ 3.2.2 EN2-1-1 et AN. Française</t>
  </si>
  <si>
    <t xml:space="preserve">Coefficients partiels et de sécutité </t>
  </si>
  <si>
    <t>γc_ELU</t>
  </si>
  <si>
    <t>no dim</t>
  </si>
  <si>
    <t xml:space="preserve">Coefficient partiel du béton en flexion à l'ELU </t>
  </si>
  <si>
    <t>§2.4.2.4 EN2-1-1 et AN. Française</t>
  </si>
  <si>
    <t>γc_SISMIQUE</t>
  </si>
  <si>
    <t xml:space="preserve">Coefficient partiel du béton en flexion à l'EL Sismique  </t>
  </si>
  <si>
    <t>γc_ACCIDENTEL</t>
  </si>
  <si>
    <t xml:space="preserve">Coefficient partiel du béton en flexion à l'EL Accidentel  </t>
  </si>
  <si>
    <t>γc_SERVICE</t>
  </si>
  <si>
    <t xml:space="preserve">Coefficient partiel du béton en flexion à l'ELS  </t>
  </si>
  <si>
    <t>γS_ELU</t>
  </si>
  <si>
    <t xml:space="preserve">Coefficient partiel de l'acier en flexion à l'ELU </t>
  </si>
  <si>
    <t>γs_SISMIQUE</t>
  </si>
  <si>
    <t xml:space="preserve">Coefficient partiel de l'acier en flexion à l'EL Sismique  </t>
  </si>
  <si>
    <t>γs_ACCIDENTEL</t>
  </si>
  <si>
    <t>Coefficient partiel de l'acier en flexion à l'EL Accidentel</t>
  </si>
  <si>
    <t>γs_SERVICE</t>
  </si>
  <si>
    <t xml:space="preserve">Coefficient partiel de l'acier en flexion à l'ELS  </t>
  </si>
  <si>
    <t>αcc_ULS</t>
  </si>
  <si>
    <t xml:space="preserve">Coefficient tenant compte des effets à long terme sur la résistance en compression et des effets défavorables résultants de la manière dont la charge est appliquée </t>
  </si>
  <si>
    <t>§3.1.6 (1) EN2-1-1 et AN. Française</t>
  </si>
  <si>
    <t xml:space="preserve">Résistances de calcul du béton </t>
  </si>
  <si>
    <t>fcd_ELU</t>
  </si>
  <si>
    <t xml:space="preserve">Résistance de calcul du béton à l'ELU </t>
  </si>
  <si>
    <t>§3.1.6 EN2-1-1 et AN. Française</t>
  </si>
  <si>
    <t>fcd_ELU=fck/γc_ELU</t>
  </si>
  <si>
    <t>fcd_SISMIQUE</t>
  </si>
  <si>
    <t xml:space="preserve">Résistance de calcul du béton à l'EL Sismique </t>
  </si>
  <si>
    <t>fcd_SISMIQUE=fck/γc_SISMIQUE</t>
  </si>
  <si>
    <t>fcd_ACCIDENTAL</t>
  </si>
  <si>
    <t>Résistance de calcul du béton à l'EL Accidentel</t>
  </si>
  <si>
    <t>fcd_ACCIDENTEL=fck/γc_ACCIDENTEL</t>
  </si>
  <si>
    <t>fcd_SERVICE</t>
  </si>
  <si>
    <t>Résistance de calcul du béton à l'ELS</t>
  </si>
  <si>
    <t xml:space="preserve">Résistances élastique de calcul de l'acier </t>
  </si>
  <si>
    <t>fyd_ELU</t>
  </si>
  <si>
    <t xml:space="preserve">Résistance élastique de calcul de l'acier à l'ELU </t>
  </si>
  <si>
    <t>fyd_ELU=fyk/γs_ELU</t>
  </si>
  <si>
    <t>§3.2.7 EN2-1-1</t>
  </si>
  <si>
    <t>fyd_SISMIQUE</t>
  </si>
  <si>
    <t xml:space="preserve">Résistance élastique de calcul de l'acier à l'EL Sismique </t>
  </si>
  <si>
    <t>fyd_SISMIQUE=fyk/γs_SISMIQUE</t>
  </si>
  <si>
    <t>fyd_ACCIDENTAL</t>
  </si>
  <si>
    <t xml:space="preserve">Résistance élastique de calcul de l'acier à l'EL Accidentel </t>
  </si>
  <si>
    <t>fyd_ACCIDENTEL=fyk/γs_ACCIDENTEL</t>
  </si>
  <si>
    <t>fyd_SERVICE</t>
  </si>
  <si>
    <t>Résistance élastique de calcul de l'acier à l'ELS</t>
  </si>
  <si>
    <t>III Chargement des pieux</t>
  </si>
  <si>
    <t>Si N &gt; 0 =&gt; compression, sinon traction</t>
  </si>
  <si>
    <t>N° pieu</t>
  </si>
  <si>
    <t>N</t>
  </si>
  <si>
    <t>V</t>
  </si>
  <si>
    <t>M</t>
  </si>
  <si>
    <t>effort normal en kN</t>
  </si>
  <si>
    <t>effort tranchant en kN</t>
  </si>
  <si>
    <t>moment en kN/m</t>
  </si>
  <si>
    <t xml:space="preserve">Cette feuille a pour fonction de générer un maillage régulier d'armatures. Il est utilisé par le fichier sofistik pour faire des simulations et choisir les barres d'acier à garder </t>
  </si>
  <si>
    <t>Maillage</t>
  </si>
  <si>
    <t>nombre de barres en profondeur</t>
  </si>
  <si>
    <t>Espacement maximal</t>
  </si>
  <si>
    <t>diamètre des barres d'acier</t>
  </si>
  <si>
    <t>hor</t>
  </si>
  <si>
    <t>ver</t>
  </si>
  <si>
    <t>z(m)</t>
  </si>
  <si>
    <t>x (mm)</t>
  </si>
  <si>
    <t>z(mm)</t>
  </si>
  <si>
    <t>garder barre ?</t>
  </si>
  <si>
    <t>oui</t>
  </si>
  <si>
    <t>NODES</t>
  </si>
  <si>
    <t>ID</t>
  </si>
  <si>
    <t>X</t>
  </si>
  <si>
    <t>Y</t>
  </si>
  <si>
    <t>Max force scale (for max size)</t>
  </si>
  <si>
    <t xml:space="preserve"> Utilisation (in terms of size)</t>
  </si>
  <si>
    <t>STRUTS</t>
  </si>
  <si>
    <t>X1</t>
  </si>
  <si>
    <t>Y1</t>
  </si>
  <si>
    <t>X2</t>
  </si>
  <si>
    <t>Y2</t>
  </si>
  <si>
    <t>Axial [MN]</t>
  </si>
  <si>
    <t>TIES</t>
  </si>
  <si>
    <t>a[m]</t>
  </si>
  <si>
    <t>REINFORCMENT</t>
  </si>
  <si>
    <t>Max Axial [MN]</t>
  </si>
  <si>
    <t>Yielding Utilisation</t>
  </si>
  <si>
    <t>LOADS</t>
  </si>
  <si>
    <t>ux</t>
  </si>
  <si>
    <t>uy</t>
  </si>
  <si>
    <t>Force[MN]</t>
  </si>
  <si>
    <t>attached_node</t>
  </si>
  <si>
    <t>SUPPORTS</t>
  </si>
  <si>
    <t>MODELE</t>
  </si>
  <si>
    <t>PARAMETERS</t>
  </si>
  <si>
    <t>Name</t>
  </si>
  <si>
    <t>Value</t>
  </si>
  <si>
    <t>alphacc</t>
  </si>
  <si>
    <t>gammac</t>
  </si>
  <si>
    <t>Tirants verticaux</t>
  </si>
  <si>
    <t>Tirants horizontaux</t>
  </si>
  <si>
    <t>Résultats Sofistik</t>
  </si>
  <si>
    <t>Cette feuille a pour but de déterminer la position des bielles, pour obtenir le modèle bielles-tirants</t>
  </si>
  <si>
    <t>Ajouter les points dans l'ordre pour former le contour, le premier point est à l'origine</t>
  </si>
  <si>
    <t>Ajouter les points dans l'ordre pour former les contours, laisser une ligne vide entre chaque trous dans le modèle</t>
  </si>
  <si>
    <t>Contours internes</t>
  </si>
  <si>
    <t>espacement horizontal</t>
  </si>
  <si>
    <t>espacement vertical</t>
  </si>
  <si>
    <t>nombre bar vertical</t>
  </si>
  <si>
    <t>nombre bar horizontal</t>
  </si>
  <si>
    <t>diamètre des barres vertical</t>
  </si>
  <si>
    <t>diamètre des barres horizontal</t>
  </si>
  <si>
    <t>nombre tirants vert</t>
  </si>
  <si>
    <t>nombre tirants hor</t>
  </si>
  <si>
    <t xml:space="preserve">premier i </t>
  </si>
  <si>
    <t>n_supports</t>
  </si>
  <si>
    <t>n_pieux</t>
  </si>
  <si>
    <t>début i support</t>
  </si>
  <si>
    <t>début i pieux</t>
  </si>
  <si>
    <t>début i pieux chargement</t>
  </si>
  <si>
    <t>ni pieux chargement</t>
  </si>
  <si>
    <t>nombre de pieux &gt;= nombre de chargement</t>
  </si>
  <si>
    <t>Attention : les distances de cette feuille sont données en m</t>
  </si>
  <si>
    <t>x1 (m)</t>
  </si>
  <si>
    <t>z1 (m)</t>
  </si>
  <si>
    <t>x2 (m)</t>
  </si>
  <si>
    <t>z2 (m)</t>
  </si>
  <si>
    <t>non</t>
  </si>
  <si>
    <t xml:space="preserve">Geometry of the pilecape, loading of the piles, effective width of pile and pier. Material properties. </t>
  </si>
  <si>
    <t>Concrete with blanks is not implemented yet</t>
  </si>
  <si>
    <t>This Excel sheet aims to verify the dimensions of the strut and tie model and to generate nodes geometry. 
Steps to follow :
- on the first sheet Input Data, enter the outline of the model, the loads, the reaction positions and the loading. Make sure to have as many loaded piles as the number of piles
- on the second sheet Armatures, enter the first button to compute the generated grid of the steel reinforcments, then select the reinforcments you want to keep in the sofistik file. Then launch the second button to get the results of the sofistik program. An error may indicate that the choosen  reinforcments are not performing well
- on the third sheet, launch the button to get a struts and ties model</t>
  </si>
  <si>
    <t>décocher toutes les barres verticales</t>
  </si>
  <si>
    <t>* pour le maillage vertical on effectue un maillage régulier entre 2 axes verticaux passant par la position des points d'appuis ou des points des supports (qui sont situés au niveau des pieux). L'espacement maximal indique qu'il faut au moins une barre tous les x mètres. Le nombre de barres entre 2 axes est donc calculé en effectuant  la division euclidienne de la distance entre les 2 axes par l'espacement. Ensuite on répartir uniformément les barres entre les 2 axes successifs</t>
  </si>
  <si>
    <t>Armatures horizontales</t>
  </si>
  <si>
    <t>Armatures verticales</t>
  </si>
  <si>
    <t>Determine the struts and ties structure of a model</t>
  </si>
  <si>
    <t>Only one load case at a time can be handled (superposition of structure is not implemented yet)</t>
  </si>
  <si>
    <t>Pour les différents tableaux excel à compléter (contour externe, répartition des pieux, répartition des appuis), insérer ou supprimer des lignes au dessus de la ligne rouge pour ajouter ou retirer des éléments</t>
  </si>
  <si>
    <t>Vérifications</t>
  </si>
  <si>
    <t>début contour</t>
  </si>
  <si>
    <t>n contour</t>
  </si>
  <si>
    <t>Détermination des bielles, création du treillis</t>
  </si>
  <si>
    <t xml:space="preserve">Les bielles trouvées par l'algorithme sont représentées en pointillé, et les barres d'armatures présentes en trait plein. On effectue un calcul de vérification pour déterminer les forces dans le treillis et établir le modèle bielles-tirants final </t>
  </si>
  <si>
    <t>Nœuds</t>
  </si>
  <si>
    <t>coordonées des nœuds</t>
  </si>
  <si>
    <t>nœuds définissant les barres</t>
  </si>
  <si>
    <t>nœud 1</t>
  </si>
  <si>
    <t>force dans la barre (kN)</t>
  </si>
  <si>
    <t>Bielle/Tirant</t>
  </si>
  <si>
    <t xml:space="preserve">nœud 2 </t>
  </si>
  <si>
    <t>Treillis</t>
  </si>
  <si>
    <t>Sofistik modèle à barres</t>
  </si>
  <si>
    <t>n_noeuds</t>
  </si>
  <si>
    <t>début i nœuds</t>
  </si>
  <si>
    <t>n_barres</t>
  </si>
  <si>
    <t>début i barres</t>
  </si>
  <si>
    <t>Pieux</t>
  </si>
  <si>
    <t>Support</t>
  </si>
  <si>
    <t>Force axiale</t>
  </si>
  <si>
    <t xml:space="preserve">Résultats treillis, lignes de courant et modèle Bielles et Tirants </t>
  </si>
  <si>
    <t>Lignes de courant : on détermine un champ d'écoulement des forces dans la pièce en béotn, et on calcul des trajectoires entre les nœuds du modèle</t>
  </si>
  <si>
    <t xml:space="preserve">Treilli du modèle : à partir des lignes de courant et des trajectoire principale, on identifie des barres qui seront probablement des bielles. On ajoute d'autres barres qui correspondent aux barres d'armatures et on fait un calcul d'équilibre dans un modèle en treillis. </t>
  </si>
  <si>
    <t>Modèle bielles tirants  : modèle final, obtenu en assignant un caractère bielles ou tirants ou barres du modèle précédent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</si>
</sst>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 #,##0.00_);_(* \(#,##0.00\);_(* &quot;-&quot;??_);_(@_)"/>
    <numFmt numFmtId="165" formatCode="0.000000"/>
    <numFmt numFmtId="166" formatCode="0.000"/>
    <numFmt numFmtId="167" formatCode="0.0"/>
    <numFmt numFmtId="168" formatCode="0.00&quot;  cm²/lm&quot;"/>
    <numFmt numFmtId="169" formatCode="&quot;HA&quot;0"/>
    <numFmt numFmtId="170" formatCode="&quot;@&quot;0"/>
    <numFmt numFmtId="171" formatCode="0.00&quot;  m&quot;"/>
    <numFmt numFmtId="172" formatCode="0.00&quot;  °&quot;"/>
    <numFmt numFmtId="173" formatCode="0.00&quot;  MN&quot;"/>
    <numFmt numFmtId="174" formatCode="0.00&quot; MPa&quot;"/>
    <numFmt numFmtId="175" formatCode="0.0000"/>
  </numFmts>
  <fonts count="57">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b/>
      <sz val="10"/>
      <name val="Arial"/>
      <family val="2"/>
    </font>
    <font>
      <sz val="10"/>
      <name val="Arial"/>
      <family val="2"/>
    </font>
    <font>
      <b/>
      <sz val="15"/>
      <color theme="1"/>
      <name val="Calibri"/>
      <family val="2"/>
      <scheme val="minor"/>
    </font>
    <font>
      <b/>
      <sz val="17"/>
      <color theme="0"/>
      <name val="Arial"/>
      <family val="2"/>
    </font>
    <font>
      <b/>
      <sz val="15"/>
      <color theme="0"/>
      <name val="Calibri"/>
      <family val="2"/>
      <scheme val="minor"/>
    </font>
    <font>
      <sz val="10"/>
      <color rgb="FFFF0000"/>
      <name val="Arial"/>
      <family val="2"/>
    </font>
    <font>
      <b/>
      <sz val="10"/>
      <color theme="1"/>
      <name val="Arial"/>
      <family val="2"/>
    </font>
    <font>
      <vertAlign val="subscript"/>
      <sz val="11"/>
      <color theme="1"/>
      <name val="Calibri"/>
      <family val="2"/>
      <scheme val="minor"/>
    </font>
    <font>
      <sz val="11"/>
      <color theme="1"/>
      <name val="Times New Roman"/>
      <family val="1"/>
    </font>
    <font>
      <sz val="11"/>
      <color theme="1"/>
      <name val="Calibri"/>
      <family val="2"/>
    </font>
    <font>
      <sz val="11"/>
      <color theme="1"/>
      <name val="Arial"/>
      <family val="2"/>
    </font>
    <font>
      <sz val="8"/>
      <color rgb="FF000000"/>
      <name val="Courier New"/>
      <family val="3"/>
    </font>
    <font>
      <sz val="11"/>
      <color theme="0"/>
      <name val="Calibri"/>
      <family val="2"/>
      <scheme val="minor"/>
    </font>
    <font>
      <sz val="11"/>
      <color theme="1"/>
      <name val="Calibri"/>
      <family val="2"/>
      <scheme val="minor"/>
    </font>
    <font>
      <sz val="10"/>
      <color theme="1"/>
      <name val="Arial"/>
      <family val="2"/>
    </font>
    <font>
      <sz val="11"/>
      <color theme="1"/>
      <name val="Aptos Narrow"/>
      <family val="2"/>
    </font>
    <font>
      <b/>
      <sz val="11"/>
      <name val="Aptos Narrow"/>
      <family val="2"/>
    </font>
    <font>
      <sz val="11"/>
      <name val="Aptos Narrow"/>
      <family val="2"/>
    </font>
    <font>
      <b/>
      <sz val="11"/>
      <color rgb="FF0070C0"/>
      <name val="Aptos Narrow"/>
      <family val="2"/>
    </font>
    <font>
      <b/>
      <sz val="10"/>
      <color theme="0"/>
      <name val="Arial"/>
      <family val="2"/>
    </font>
    <font>
      <b/>
      <sz val="12"/>
      <color theme="0"/>
      <name val="Arial"/>
      <family val="2"/>
    </font>
    <font>
      <b/>
      <sz val="11"/>
      <color theme="1"/>
      <name val="Arial"/>
      <family val="2"/>
    </font>
    <font>
      <sz val="11"/>
      <name val="Arial"/>
      <family val="2"/>
    </font>
    <font>
      <sz val="11"/>
      <name val="Arial"/>
      <family val="2"/>
      <charset val="1"/>
    </font>
    <font>
      <sz val="11"/>
      <color theme="1"/>
      <name val="Calibri"/>
      <family val="2"/>
      <charset val="1"/>
    </font>
    <font>
      <sz val="12"/>
      <name val="Calibri"/>
      <family val="2"/>
      <scheme val="minor"/>
    </font>
    <font>
      <b/>
      <sz val="11"/>
      <color rgb="FF0070C0"/>
      <name val="Calibri"/>
      <family val="2"/>
      <scheme val="minor"/>
    </font>
    <font>
      <sz val="11"/>
      <color theme="0"/>
      <name val="Aptos Narrow"/>
      <family val="2"/>
    </font>
    <font>
      <sz val="10"/>
      <color rgb="FF0070C0"/>
      <name val="Arial"/>
      <family val="2"/>
    </font>
    <font>
      <b/>
      <sz val="10"/>
      <color rgb="FF0070C0"/>
      <name val="Aptos Narrow"/>
      <family val="2"/>
    </font>
    <font>
      <sz val="8"/>
      <color theme="1"/>
      <name val="Calibri"/>
      <family val="2"/>
      <scheme val="minor"/>
    </font>
    <font>
      <sz val="9"/>
      <color theme="1"/>
      <name val="Calibri"/>
      <family val="2"/>
      <scheme val="minor"/>
    </font>
    <font>
      <b/>
      <sz val="12"/>
      <name val="Calibri"/>
      <family val="2"/>
      <scheme val="minor"/>
    </font>
    <font>
      <sz val="10"/>
      <color theme="1"/>
      <name val="Calibri"/>
      <family val="2"/>
      <scheme val="minor"/>
    </font>
    <font>
      <b/>
      <sz val="11"/>
      <color theme="1"/>
      <name val="Calibri"/>
      <family val="2"/>
    </font>
    <font>
      <sz val="11"/>
      <color rgb="FF0070C0"/>
      <name val="Calibri"/>
      <family val="2"/>
      <scheme val="minor"/>
    </font>
    <font>
      <sz val="16"/>
      <color theme="0"/>
      <name val="Aptos Narrow"/>
      <family val="2"/>
    </font>
    <font>
      <sz val="16"/>
      <color theme="0"/>
      <name val="Arial"/>
      <family val="2"/>
    </font>
    <font>
      <b/>
      <sz val="11"/>
      <name val="Arial"/>
      <family val="2"/>
    </font>
    <font>
      <sz val="11"/>
      <color rgb="FF0070C0"/>
      <name val="Arial"/>
      <family val="2"/>
    </font>
    <font>
      <b/>
      <sz val="12"/>
      <name val="Arial"/>
      <family val="2"/>
    </font>
    <font>
      <b/>
      <sz val="9"/>
      <name val="Arial"/>
      <family val="2"/>
    </font>
    <font>
      <b/>
      <sz val="18"/>
      <color theme="0"/>
      <name val="Calibri"/>
      <family val="2"/>
      <scheme val="minor"/>
    </font>
    <font>
      <b/>
      <sz val="12"/>
      <color theme="0"/>
      <name val="Aptos Narrow"/>
      <family val="2"/>
    </font>
    <font>
      <b/>
      <sz val="11"/>
      <color theme="0"/>
      <name val="Aptos Narrow"/>
      <family val="2"/>
    </font>
    <font>
      <sz val="10"/>
      <color theme="0"/>
      <name val="Arial"/>
      <family val="2"/>
    </font>
    <font>
      <sz val="10"/>
      <color theme="0"/>
      <name val="Calibri"/>
      <family val="2"/>
      <scheme val="minor"/>
    </font>
    <font>
      <sz val="20"/>
      <color theme="1"/>
      <name val="Calibri"/>
      <family val="2"/>
      <scheme val="minor"/>
    </font>
    <font>
      <sz val="11"/>
      <color rgb="FF000000"/>
      <name val="Calibri"/>
      <family val="2"/>
    </font>
    <font>
      <b/>
      <sz val="16"/>
      <color theme="0"/>
      <name val="Calibri"/>
      <family val="2"/>
      <scheme val="minor"/>
    </font>
    <font>
      <sz val="8"/>
      <name val="Calibri"/>
      <family val="2"/>
      <scheme val="minor"/>
    </font>
    <font>
      <b/>
      <sz val="11"/>
      <color theme="0"/>
      <name val="Calibri"/>
      <family val="2"/>
      <scheme val="minor"/>
    </font>
    <font>
      <b/>
      <sz val="14"/>
      <color theme="0"/>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patternFill>
    </fill>
    <fill>
      <patternFill patternType="solid">
        <fgColor theme="4" tint="0.59996337778862885"/>
        <bgColor indexed="64"/>
      </patternFill>
    </fill>
    <fill>
      <patternFill patternType="solid">
        <fgColor theme="5" tint="0.59999389629810485"/>
        <bgColor indexed="64"/>
      </patternFill>
    </fill>
    <fill>
      <patternFill patternType="solid">
        <fgColor rgb="FF90EE90"/>
        <bgColor indexed="64"/>
      </patternFill>
    </fill>
    <fill>
      <patternFill patternType="solid">
        <fgColor auto="1"/>
        <bgColor indexed="64"/>
      </patternFill>
    </fill>
    <fill>
      <patternFill patternType="solid">
        <fgColor rgb="FFF08080"/>
        <bgColor indexed="64"/>
      </patternFill>
    </fill>
    <fill>
      <patternFill patternType="solid">
        <fgColor theme="4" tint="0.79998168889431442"/>
        <bgColor theme="4" tint="0.79998168889431442"/>
      </patternFill>
    </fill>
    <fill>
      <patternFill patternType="solid">
        <fgColor indexed="65"/>
        <bgColor indexed="64"/>
      </patternFill>
    </fill>
    <fill>
      <patternFill patternType="solid">
        <fgColor theme="4"/>
        <bgColor indexed="64"/>
      </patternFill>
    </fill>
    <fill>
      <patternFill patternType="solid">
        <fgColor theme="4"/>
        <bgColor theme="4"/>
      </patternFill>
    </fill>
    <fill>
      <patternFill patternType="solid">
        <fgColor rgb="FF77B5FE"/>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style="medium">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n">
        <color theme="4" tint="0.39997558519241921"/>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theme="4" tint="0.39997558519241921"/>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s>
  <cellStyleXfs count="8">
    <xf numFmtId="0" fontId="0" fillId="0" borderId="0"/>
    <xf numFmtId="0" fontId="5" fillId="0" borderId="0"/>
    <xf numFmtId="0" fontId="5" fillId="0" borderId="0"/>
    <xf numFmtId="0" fontId="16" fillId="5" borderId="0"/>
    <xf numFmtId="0" fontId="18" fillId="0" borderId="0"/>
    <xf numFmtId="164" fontId="17" fillId="0" borderId="0"/>
    <xf numFmtId="164" fontId="17" fillId="0" borderId="0"/>
    <xf numFmtId="9" fontId="17" fillId="0" borderId="0"/>
  </cellStyleXfs>
  <cellXfs count="379">
    <xf numFmtId="0" fontId="0" fillId="0" borderId="0" xfId="0"/>
    <xf numFmtId="0" fontId="0" fillId="2" borderId="0" xfId="0" applyFill="1"/>
    <xf numFmtId="0" fontId="4" fillId="2" borderId="15" xfId="1" applyFont="1" applyFill="1" applyBorder="1"/>
    <xf numFmtId="0" fontId="0" fillId="2" borderId="15" xfId="0" applyFill="1" applyBorder="1"/>
    <xf numFmtId="0" fontId="0" fillId="2" borderId="16" xfId="0" applyFill="1" applyBorder="1"/>
    <xf numFmtId="0" fontId="2" fillId="2" borderId="15" xfId="0" applyFont="1" applyFill="1" applyBorder="1"/>
    <xf numFmtId="0" fontId="0" fillId="2" borderId="17" xfId="0" applyFill="1" applyBorder="1"/>
    <xf numFmtId="0" fontId="0" fillId="2" borderId="13" xfId="0" applyFill="1" applyBorder="1"/>
    <xf numFmtId="0" fontId="3" fillId="2" borderId="0" xfId="1" applyFont="1" applyFill="1"/>
    <xf numFmtId="0" fontId="9" fillId="0" borderId="0" xfId="1" applyFont="1" applyProtection="1">
      <protection locked="0"/>
    </xf>
    <xf numFmtId="0" fontId="3" fillId="0" borderId="0" xfId="1" applyFont="1"/>
    <xf numFmtId="2" fontId="0" fillId="2" borderId="0" xfId="0" applyNumberFormat="1" applyFill="1" applyAlignment="1">
      <alignment horizontal="center"/>
    </xf>
    <xf numFmtId="165" fontId="0" fillId="2" borderId="0" xfId="0" applyNumberFormat="1" applyFill="1"/>
    <xf numFmtId="166" fontId="0" fillId="2" borderId="0" xfId="0" applyNumberFormat="1" applyFill="1"/>
    <xf numFmtId="0" fontId="0" fillId="4" borderId="0" xfId="0" applyFill="1"/>
    <xf numFmtId="2" fontId="0" fillId="2" borderId="0" xfId="0" applyNumberFormat="1" applyFill="1"/>
    <xf numFmtId="0" fontId="0" fillId="2" borderId="0" xfId="0" applyFill="1" applyAlignment="1">
      <alignment horizontal="center"/>
    </xf>
    <xf numFmtId="167" fontId="0" fillId="2" borderId="0" xfId="0" applyNumberFormat="1" applyFill="1" applyAlignment="1">
      <alignment horizontal="center"/>
    </xf>
    <xf numFmtId="0" fontId="15" fillId="0" borderId="0" xfId="0" applyFont="1" applyAlignment="1">
      <alignment horizontal="right" vertical="center"/>
    </xf>
    <xf numFmtId="0" fontId="21" fillId="0" borderId="1" xfId="1" applyFont="1" applyBorder="1"/>
    <xf numFmtId="0" fontId="21" fillId="0" borderId="1" xfId="1" applyFont="1" applyBorder="1" applyAlignment="1">
      <alignment vertical="center"/>
    </xf>
    <xf numFmtId="2" fontId="22" fillId="0" borderId="1" xfId="1" applyNumberFormat="1" applyFont="1" applyBorder="1" applyProtection="1">
      <protection locked="0"/>
    </xf>
    <xf numFmtId="0" fontId="22" fillId="0" borderId="1" xfId="1" applyFont="1" applyBorder="1" applyProtection="1">
      <protection locked="0"/>
    </xf>
    <xf numFmtId="0" fontId="22" fillId="0" borderId="1" xfId="1" applyFont="1" applyBorder="1" applyAlignment="1" applyProtection="1">
      <alignment vertical="center"/>
      <protection locked="0"/>
    </xf>
    <xf numFmtId="168" fontId="0" fillId="2" borderId="0" xfId="0" applyNumberFormat="1" applyFill="1" applyAlignment="1">
      <alignment horizontal="center"/>
    </xf>
    <xf numFmtId="0" fontId="24" fillId="0" borderId="0" xfId="1" applyFont="1" applyAlignment="1">
      <alignment horizontal="left"/>
    </xf>
    <xf numFmtId="9" fontId="0" fillId="2" borderId="0" xfId="7" applyFont="1" applyFill="1" applyAlignment="1">
      <alignment horizontal="right"/>
    </xf>
    <xf numFmtId="0" fontId="0" fillId="2" borderId="0" xfId="0" applyFill="1" applyAlignment="1">
      <alignment vertical="center" wrapText="1"/>
    </xf>
    <xf numFmtId="0" fontId="21" fillId="0" borderId="1" xfId="1" applyFont="1" applyBorder="1" applyAlignment="1" applyProtection="1">
      <alignment horizontal="center" vertical="center" wrapText="1"/>
      <protection locked="0"/>
    </xf>
    <xf numFmtId="0" fontId="3" fillId="2" borderId="0" xfId="1" applyFont="1" applyFill="1" applyAlignment="1">
      <alignment vertical="center" wrapText="1"/>
    </xf>
    <xf numFmtId="0" fontId="3" fillId="0" borderId="0" xfId="1"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0" fillId="2" borderId="0" xfId="0" applyFill="1" applyAlignment="1">
      <alignment wrapText="1"/>
    </xf>
    <xf numFmtId="0" fontId="3" fillId="2" borderId="0" xfId="1" applyFont="1" applyFill="1" applyAlignment="1">
      <alignment wrapText="1"/>
    </xf>
    <xf numFmtId="0" fontId="3" fillId="0" borderId="0" xfId="1" applyFont="1" applyAlignment="1">
      <alignment wrapText="1"/>
    </xf>
    <xf numFmtId="0" fontId="0" fillId="0" borderId="0" xfId="0" applyAlignment="1">
      <alignment wrapText="1"/>
    </xf>
    <xf numFmtId="0" fontId="0" fillId="2" borderId="0" xfId="0" applyFill="1" applyAlignment="1">
      <alignment horizontal="left" vertical="center" wrapText="1"/>
    </xf>
    <xf numFmtId="0" fontId="3" fillId="2" borderId="0" xfId="1" applyFont="1" applyFill="1" applyAlignment="1">
      <alignment horizontal="left" vertical="center" wrapText="1"/>
    </xf>
    <xf numFmtId="0" fontId="19" fillId="0" borderId="1" xfId="1" applyFont="1" applyBorder="1" applyAlignment="1" applyProtection="1">
      <alignment horizontal="left" vertical="center" wrapText="1"/>
      <protection locked="0"/>
    </xf>
    <xf numFmtId="0" fontId="3" fillId="0" borderId="0" xfId="1" applyFont="1" applyAlignment="1">
      <alignment horizontal="left" vertical="center" wrapText="1"/>
    </xf>
    <xf numFmtId="0" fontId="4" fillId="2" borderId="0" xfId="1" applyFont="1" applyFill="1" applyAlignment="1">
      <alignment horizontal="center"/>
    </xf>
    <xf numFmtId="0" fontId="21" fillId="0" borderId="1" xfId="1" applyFont="1" applyBorder="1" applyAlignment="1">
      <alignment vertical="center" wrapText="1"/>
    </xf>
    <xf numFmtId="0" fontId="21" fillId="0" borderId="1" xfId="1" applyFont="1" applyBorder="1" applyAlignment="1">
      <alignment horizontal="left" vertical="center" wrapText="1"/>
    </xf>
    <xf numFmtId="0" fontId="21" fillId="0" borderId="1" xfId="1" applyFont="1" applyBorder="1" applyAlignment="1" applyProtection="1">
      <alignment vertical="center" wrapText="1"/>
      <protection locked="0"/>
    </xf>
    <xf numFmtId="0" fontId="21" fillId="0" borderId="1" xfId="1" applyFont="1" applyBorder="1" applyAlignment="1" applyProtection="1">
      <alignment horizontal="left" vertical="center" wrapText="1"/>
      <protection locked="0"/>
    </xf>
    <xf numFmtId="0" fontId="3" fillId="0" borderId="1" xfId="1" applyFont="1" applyBorder="1" applyAlignment="1">
      <alignment wrapText="1"/>
    </xf>
    <xf numFmtId="0" fontId="7" fillId="2" borderId="0" xfId="1" applyFont="1" applyFill="1" applyAlignment="1">
      <alignment horizontal="left"/>
    </xf>
    <xf numFmtId="0" fontId="4" fillId="2" borderId="0" xfId="1" applyFont="1" applyFill="1" applyAlignment="1">
      <alignment horizontal="left"/>
    </xf>
    <xf numFmtId="10" fontId="0" fillId="0" borderId="0" xfId="0" applyNumberFormat="1"/>
    <xf numFmtId="9" fontId="0" fillId="0" borderId="0" xfId="0" applyNumberFormat="1"/>
    <xf numFmtId="0" fontId="20" fillId="0" borderId="1" xfId="1" applyFont="1" applyBorder="1" applyAlignment="1">
      <alignment horizontal="center" wrapText="1"/>
    </xf>
    <xf numFmtId="0" fontId="21" fillId="6" borderId="24" xfId="1" applyFont="1" applyFill="1" applyBorder="1" applyAlignment="1">
      <alignment horizontal="center"/>
    </xf>
    <xf numFmtId="0" fontId="21" fillId="6" borderId="24" xfId="1" applyFont="1" applyFill="1" applyBorder="1" applyAlignment="1">
      <alignment horizontal="center" vertical="center" wrapText="1"/>
    </xf>
    <xf numFmtId="0" fontId="21" fillId="6" borderId="24" xfId="1" applyFont="1" applyFill="1" applyBorder="1" applyAlignment="1">
      <alignment horizontal="left" vertical="center" wrapText="1"/>
    </xf>
    <xf numFmtId="0" fontId="21" fillId="0" borderId="1" xfId="1" applyFont="1" applyBorder="1" applyAlignment="1">
      <alignment horizontal="right"/>
    </xf>
    <xf numFmtId="0" fontId="3" fillId="6" borderId="1" xfId="1" applyFont="1" applyFill="1" applyBorder="1" applyAlignment="1">
      <alignment horizontal="center"/>
    </xf>
    <xf numFmtId="0" fontId="3" fillId="6" borderId="1" xfId="1" applyFont="1" applyFill="1" applyBorder="1" applyAlignment="1">
      <alignment horizontal="center" vertical="center" wrapText="1"/>
    </xf>
    <xf numFmtId="0" fontId="3" fillId="6" borderId="1" xfId="1" applyFont="1" applyFill="1" applyBorder="1" applyAlignment="1">
      <alignment horizontal="center" wrapText="1"/>
    </xf>
    <xf numFmtId="0" fontId="3" fillId="6" borderId="1" xfId="1" applyFont="1" applyFill="1" applyBorder="1" applyAlignment="1">
      <alignment horizontal="left" vertical="center" wrapText="1"/>
    </xf>
    <xf numFmtId="0" fontId="20" fillId="0" borderId="1" xfId="1" applyFont="1" applyBorder="1" applyAlignment="1">
      <alignment wrapText="1"/>
    </xf>
    <xf numFmtId="0" fontId="0" fillId="2" borderId="1" xfId="0" applyFill="1" applyBorder="1" applyAlignment="1">
      <alignment wrapText="1"/>
    </xf>
    <xf numFmtId="0" fontId="21" fillId="0" borderId="1" xfId="1" applyFont="1" applyBorder="1" applyAlignment="1">
      <alignment wrapText="1"/>
    </xf>
    <xf numFmtId="0" fontId="21" fillId="6" borderId="24" xfId="1" applyFont="1" applyFill="1" applyBorder="1" applyAlignment="1">
      <alignment horizontal="center" wrapText="1"/>
    </xf>
    <xf numFmtId="0" fontId="21" fillId="2" borderId="1" xfId="1" applyFont="1" applyFill="1" applyBorder="1" applyAlignment="1">
      <alignment horizontal="left" wrapText="1"/>
    </xf>
    <xf numFmtId="0" fontId="20" fillId="2" borderId="1" xfId="1" applyFont="1" applyFill="1" applyBorder="1" applyAlignment="1">
      <alignment horizontal="center" wrapText="1"/>
    </xf>
    <xf numFmtId="0" fontId="21" fillId="0" borderId="1" xfId="1" applyFont="1" applyBorder="1" applyAlignment="1" applyProtection="1">
      <alignment wrapText="1"/>
      <protection locked="0"/>
    </xf>
    <xf numFmtId="0" fontId="3" fillId="6" borderId="28" xfId="1" applyFont="1" applyFill="1" applyBorder="1" applyAlignment="1">
      <alignment horizontal="center" wrapText="1"/>
    </xf>
    <xf numFmtId="0" fontId="3" fillId="6" borderId="28" xfId="1" applyFont="1" applyFill="1" applyBorder="1" applyAlignment="1">
      <alignment horizontal="center"/>
    </xf>
    <xf numFmtId="0" fontId="3" fillId="6" borderId="29" xfId="1" applyFont="1" applyFill="1" applyBorder="1" applyAlignment="1">
      <alignment horizontal="center" wrapText="1"/>
    </xf>
    <xf numFmtId="0" fontId="3" fillId="6" borderId="31" xfId="1" applyFont="1" applyFill="1" applyBorder="1" applyAlignment="1">
      <alignment horizontal="center" vertical="center" wrapText="1"/>
    </xf>
    <xf numFmtId="0" fontId="20" fillId="0" borderId="1" xfId="1" applyFont="1" applyBorder="1" applyAlignment="1">
      <alignment vertical="center" wrapText="1"/>
    </xf>
    <xf numFmtId="0" fontId="3" fillId="0" borderId="1" xfId="1" applyFont="1" applyBorder="1" applyAlignment="1">
      <alignment vertical="center" wrapText="1"/>
    </xf>
    <xf numFmtId="9" fontId="0" fillId="2" borderId="0" xfId="7" applyFont="1" applyFill="1"/>
    <xf numFmtId="0" fontId="0" fillId="2" borderId="0" xfId="0" applyFill="1" applyAlignment="1">
      <alignment vertical="center"/>
    </xf>
    <xf numFmtId="2" fontId="0" fillId="0" borderId="0" xfId="0" applyNumberFormat="1"/>
    <xf numFmtId="1" fontId="0" fillId="0" borderId="0" xfId="0" applyNumberFormat="1"/>
    <xf numFmtId="20" fontId="0" fillId="2" borderId="0" xfId="0" applyNumberFormat="1" applyFill="1"/>
    <xf numFmtId="0" fontId="6" fillId="2" borderId="15" xfId="1" applyFont="1" applyFill="1" applyBorder="1" applyAlignment="1">
      <alignment horizontal="center" vertical="center"/>
    </xf>
    <xf numFmtId="0" fontId="6" fillId="2" borderId="16" xfId="1" applyFont="1" applyFill="1" applyBorder="1" applyAlignment="1">
      <alignment horizontal="center" vertical="center"/>
    </xf>
    <xf numFmtId="0" fontId="34" fillId="2" borderId="0" xfId="0" applyFont="1" applyFill="1" applyAlignment="1">
      <alignment horizontal="left" vertical="center" wrapText="1"/>
    </xf>
    <xf numFmtId="0" fontId="32" fillId="2" borderId="0" xfId="1" applyFont="1" applyFill="1" applyAlignment="1">
      <alignment horizontal="left"/>
    </xf>
    <xf numFmtId="0" fontId="31" fillId="3" borderId="1" xfId="3" applyFont="1" applyFill="1" applyBorder="1" applyAlignment="1">
      <alignment horizontal="left"/>
    </xf>
    <xf numFmtId="0" fontId="21" fillId="0" borderId="0" xfId="1" applyFont="1" applyAlignment="1" applyProtection="1">
      <alignment horizontal="center" vertical="center" wrapText="1"/>
      <protection locked="0"/>
    </xf>
    <xf numFmtId="0" fontId="3" fillId="0" borderId="0" xfId="1" applyFont="1" applyAlignment="1">
      <alignment horizontal="center" wrapText="1"/>
    </xf>
    <xf numFmtId="0" fontId="9" fillId="0" borderId="0" xfId="1" applyFont="1" applyAlignment="1" applyProtection="1">
      <alignment horizontal="left" vertical="center" wrapText="1"/>
      <protection locked="0"/>
    </xf>
    <xf numFmtId="0" fontId="21" fillId="2" borderId="0" xfId="1" applyFont="1" applyFill="1" applyAlignment="1">
      <alignment horizontal="center" wrapText="1"/>
    </xf>
    <xf numFmtId="0" fontId="0" fillId="2" borderId="0" xfId="0" applyFill="1" applyAlignment="1">
      <alignment horizontal="center" vertical="center" wrapText="1"/>
    </xf>
    <xf numFmtId="2" fontId="0" fillId="2" borderId="0" xfId="0" applyNumberFormat="1" applyFill="1" applyAlignment="1">
      <alignment horizontal="left" vertical="center" wrapText="1"/>
    </xf>
    <xf numFmtId="168" fontId="0" fillId="2" borderId="0" xfId="0" applyNumberFormat="1" applyFill="1"/>
    <xf numFmtId="0" fontId="0" fillId="2" borderId="0" xfId="0" applyFill="1" applyAlignment="1">
      <alignment horizontal="center" wrapText="1"/>
    </xf>
    <xf numFmtId="168" fontId="0" fillId="2" borderId="0" xfId="0" applyNumberFormat="1" applyFill="1" applyAlignment="1">
      <alignment horizontal="left" vertical="center" wrapText="1"/>
    </xf>
    <xf numFmtId="168" fontId="0" fillId="2" borderId="0" xfId="0" applyNumberFormat="1" applyFill="1" applyAlignment="1">
      <alignment horizontal="center" wrapText="1"/>
    </xf>
    <xf numFmtId="166" fontId="0" fillId="2" borderId="0" xfId="0" applyNumberFormat="1" applyFill="1" applyAlignment="1">
      <alignment horizontal="center"/>
    </xf>
    <xf numFmtId="0" fontId="18" fillId="2" borderId="0" xfId="1" applyFont="1" applyFill="1" applyAlignment="1">
      <alignment horizontal="left"/>
    </xf>
    <xf numFmtId="0" fontId="0" fillId="2" borderId="0" xfId="0" applyFill="1" applyAlignment="1">
      <alignment horizontal="left" wrapText="1"/>
    </xf>
    <xf numFmtId="2" fontId="2" fillId="2" borderId="0" xfId="0" applyNumberFormat="1" applyFont="1" applyFill="1"/>
    <xf numFmtId="0" fontId="2" fillId="2" borderId="0" xfId="0" applyFont="1" applyFill="1" applyAlignment="1">
      <alignment vertical="center" wrapText="1"/>
    </xf>
    <xf numFmtId="0" fontId="30" fillId="2" borderId="0" xfId="0" applyFont="1" applyFill="1"/>
    <xf numFmtId="169" fontId="30" fillId="2" borderId="0" xfId="0" applyNumberFormat="1" applyFont="1" applyFill="1" applyAlignment="1">
      <alignment horizontal="right"/>
    </xf>
    <xf numFmtId="170" fontId="0" fillId="2" borderId="0" xfId="0" applyNumberFormat="1" applyFill="1" applyAlignment="1">
      <alignment horizontal="right"/>
    </xf>
    <xf numFmtId="2" fontId="2" fillId="2" borderId="0" xfId="0" applyNumberFormat="1" applyFont="1" applyFill="1" applyAlignment="1">
      <alignment horizontal="center"/>
    </xf>
    <xf numFmtId="2" fontId="0" fillId="2" borderId="0" xfId="0" applyNumberFormat="1" applyFill="1" applyAlignment="1">
      <alignment horizontal="right"/>
    </xf>
    <xf numFmtId="168" fontId="2" fillId="2" borderId="0" xfId="0" applyNumberFormat="1" applyFont="1" applyFill="1" applyAlignment="1">
      <alignment horizontal="center" wrapText="1"/>
    </xf>
    <xf numFmtId="0" fontId="0" fillId="2" borderId="0" xfId="0" applyFill="1" applyAlignment="1">
      <alignment horizontal="left" vertical="center"/>
    </xf>
    <xf numFmtId="0" fontId="2" fillId="2" borderId="0" xfId="0" applyFont="1" applyFill="1"/>
    <xf numFmtId="0" fontId="2" fillId="2" borderId="0" xfId="0" applyFont="1" applyFill="1" applyAlignment="1">
      <alignment wrapText="1"/>
    </xf>
    <xf numFmtId="169" fontId="0" fillId="2" borderId="0" xfId="0" applyNumberFormat="1" applyFill="1" applyAlignment="1">
      <alignment horizontal="left" vertical="center" wrapText="1"/>
    </xf>
    <xf numFmtId="2" fontId="2" fillId="2" borderId="0" xfId="0" applyNumberFormat="1" applyFont="1" applyFill="1" applyAlignment="1">
      <alignment horizontal="right"/>
    </xf>
    <xf numFmtId="168" fontId="2" fillId="2" borderId="0" xfId="0" applyNumberFormat="1" applyFont="1" applyFill="1" applyAlignment="1">
      <alignment horizontal="center"/>
    </xf>
    <xf numFmtId="171" fontId="0" fillId="2" borderId="0" xfId="0" applyNumberFormat="1" applyFill="1" applyAlignment="1">
      <alignment horizontal="center"/>
    </xf>
    <xf numFmtId="172" fontId="0" fillId="2" borderId="0" xfId="0" applyNumberFormat="1" applyFill="1" applyAlignment="1">
      <alignment horizontal="center" vertical="center" wrapText="1"/>
    </xf>
    <xf numFmtId="171" fontId="0" fillId="2" borderId="0" xfId="0" applyNumberFormat="1" applyFill="1" applyAlignment="1">
      <alignment horizontal="left" vertical="center" wrapText="1"/>
    </xf>
    <xf numFmtId="171" fontId="0" fillId="2" borderId="0" xfId="0" applyNumberFormat="1" applyFill="1" applyAlignment="1">
      <alignment horizontal="center" wrapText="1"/>
    </xf>
    <xf numFmtId="173" fontId="0" fillId="2" borderId="0" xfId="0" applyNumberFormat="1" applyFill="1" applyAlignment="1">
      <alignment horizontal="center"/>
    </xf>
    <xf numFmtId="168" fontId="0" fillId="2" borderId="0" xfId="0" applyNumberFormat="1" applyFill="1" applyAlignment="1">
      <alignment horizontal="center" vertical="center" wrapText="1"/>
    </xf>
    <xf numFmtId="0" fontId="11" fillId="2" borderId="0" xfId="0" applyFont="1" applyFill="1" applyAlignment="1">
      <alignment horizontal="left" vertical="center" wrapText="1"/>
    </xf>
    <xf numFmtId="0" fontId="35" fillId="2" borderId="0" xfId="0" applyFont="1" applyFill="1" applyAlignment="1">
      <alignment vertical="center" wrapText="1"/>
    </xf>
    <xf numFmtId="0" fontId="34" fillId="2" borderId="0" xfId="0" applyFont="1" applyFill="1" applyAlignment="1">
      <alignment vertical="center" wrapText="1"/>
    </xf>
    <xf numFmtId="0" fontId="33" fillId="2" borderId="0" xfId="1" applyFont="1" applyFill="1" applyAlignment="1">
      <alignment horizontal="left"/>
    </xf>
    <xf numFmtId="2" fontId="2" fillId="2" borderId="0" xfId="0" applyNumberFormat="1" applyFont="1" applyFill="1" applyAlignment="1">
      <alignment horizontal="left" vertical="center" wrapText="1"/>
    </xf>
    <xf numFmtId="0" fontId="37" fillId="2" borderId="0" xfId="0" applyFont="1" applyFill="1" applyAlignment="1">
      <alignment wrapText="1"/>
    </xf>
    <xf numFmtId="170" fontId="0" fillId="2" borderId="0" xfId="0" applyNumberFormat="1" applyFill="1" applyAlignment="1">
      <alignment horizontal="left"/>
    </xf>
    <xf numFmtId="0" fontId="37" fillId="2" borderId="0" xfId="0" applyFont="1" applyFill="1" applyAlignment="1">
      <alignment horizontal="left" wrapText="1"/>
    </xf>
    <xf numFmtId="168" fontId="2" fillId="2" borderId="0" xfId="0" applyNumberFormat="1" applyFont="1" applyFill="1" applyAlignment="1">
      <alignment horizontal="center" vertical="center" wrapText="1"/>
    </xf>
    <xf numFmtId="171" fontId="0" fillId="2" borderId="0" xfId="0" applyNumberFormat="1" applyFill="1" applyAlignment="1">
      <alignment horizontal="left" wrapText="1"/>
    </xf>
    <xf numFmtId="0" fontId="28" fillId="2" borderId="0" xfId="0" applyFont="1" applyFill="1" applyAlignment="1">
      <alignment wrapText="1"/>
    </xf>
    <xf numFmtId="174" fontId="0" fillId="2" borderId="0" xfId="0" applyNumberFormat="1" applyFill="1"/>
    <xf numFmtId="0" fontId="13" fillId="2" borderId="0" xfId="0" applyFont="1" applyFill="1" applyAlignment="1">
      <alignment wrapText="1"/>
    </xf>
    <xf numFmtId="0" fontId="3" fillId="2" borderId="0" xfId="1" applyFont="1" applyFill="1" applyAlignment="1">
      <alignment horizontal="center" wrapText="1"/>
    </xf>
    <xf numFmtId="0" fontId="3" fillId="2" borderId="0" xfId="1" applyFont="1" applyFill="1" applyAlignment="1">
      <alignment horizontal="center"/>
    </xf>
    <xf numFmtId="0" fontId="3" fillId="2" borderId="0" xfId="1" applyFont="1" applyFill="1" applyAlignment="1">
      <alignment horizontal="center" vertical="center" wrapText="1"/>
    </xf>
    <xf numFmtId="0" fontId="4" fillId="2" borderId="0" xfId="1" applyFont="1" applyFill="1" applyAlignment="1">
      <alignment horizontal="center" wrapText="1"/>
    </xf>
    <xf numFmtId="0" fontId="25" fillId="2" borderId="0" xfId="0" applyFont="1" applyFill="1" applyAlignment="1">
      <alignment wrapText="1"/>
    </xf>
    <xf numFmtId="0" fontId="0" fillId="2" borderId="0" xfId="0" applyFill="1" applyAlignment="1">
      <alignment horizontal="left"/>
    </xf>
    <xf numFmtId="0" fontId="37" fillId="2" borderId="0" xfId="0" applyFont="1" applyFill="1" applyAlignment="1">
      <alignment vertical="center" wrapText="1"/>
    </xf>
    <xf numFmtId="0" fontId="18" fillId="2" borderId="0" xfId="0" applyFont="1" applyFill="1" applyAlignment="1">
      <alignment horizontal="left" vertical="center" wrapText="1"/>
    </xf>
    <xf numFmtId="0" fontId="18" fillId="2" borderId="0" xfId="0" applyFont="1" applyFill="1" applyAlignment="1">
      <alignment horizontal="left" wrapText="1"/>
    </xf>
    <xf numFmtId="2" fontId="0" fillId="2" borderId="0" xfId="0" applyNumberFormat="1" applyFill="1" applyAlignment="1">
      <alignment horizontal="left" vertical="center"/>
    </xf>
    <xf numFmtId="0" fontId="37" fillId="2" borderId="0" xfId="0" applyFont="1" applyFill="1" applyAlignment="1">
      <alignment horizontal="left" vertical="center" wrapText="1"/>
    </xf>
    <xf numFmtId="2" fontId="0" fillId="2" borderId="0" xfId="0" applyNumberFormat="1" applyFill="1" applyAlignment="1">
      <alignment vertical="center"/>
    </xf>
    <xf numFmtId="0" fontId="38" fillId="2" borderId="0" xfId="0" applyFont="1" applyFill="1"/>
    <xf numFmtId="0" fontId="2" fillId="2" borderId="0" xfId="0" applyFont="1" applyFill="1" applyAlignment="1">
      <alignment horizontal="left" vertical="center" wrapText="1"/>
    </xf>
    <xf numFmtId="0" fontId="0" fillId="2" borderId="0" xfId="0" applyFill="1" applyAlignment="1">
      <alignment horizontal="right" wrapText="1"/>
    </xf>
    <xf numFmtId="2" fontId="0" fillId="2" borderId="0" xfId="0" applyNumberFormat="1" applyFill="1" applyAlignment="1">
      <alignment horizontal="right" wrapText="1"/>
    </xf>
    <xf numFmtId="0" fontId="14" fillId="2" borderId="0" xfId="0" applyFont="1" applyFill="1" applyAlignment="1">
      <alignment wrapText="1"/>
    </xf>
    <xf numFmtId="0" fontId="16" fillId="2" borderId="0" xfId="0" applyFont="1" applyFill="1" applyAlignment="1">
      <alignment horizontal="center"/>
    </xf>
    <xf numFmtId="2" fontId="0" fillId="2" borderId="0" xfId="0" applyNumberFormat="1" applyFill="1" applyAlignment="1">
      <alignment horizontal="left"/>
    </xf>
    <xf numFmtId="0" fontId="1" fillId="2" borderId="0" xfId="0" applyFont="1" applyFill="1" applyAlignment="1">
      <alignment horizontal="left" vertical="center" wrapText="1"/>
    </xf>
    <xf numFmtId="175" fontId="0" fillId="2" borderId="0" xfId="0" applyNumberFormat="1" applyFill="1" applyAlignment="1">
      <alignment horizontal="left"/>
    </xf>
    <xf numFmtId="0" fontId="3" fillId="2" borderId="0" xfId="1" applyFont="1" applyFill="1" applyAlignment="1">
      <alignment horizontal="left" wrapText="1"/>
    </xf>
    <xf numFmtId="0" fontId="4" fillId="2" borderId="0" xfId="1" applyFont="1" applyFill="1" applyAlignment="1">
      <alignment horizontal="center" vertical="center" wrapText="1"/>
    </xf>
    <xf numFmtId="0" fontId="4" fillId="2" borderId="0" xfId="1" applyFont="1" applyFill="1" applyAlignment="1">
      <alignment horizontal="left" vertical="center" wrapText="1"/>
    </xf>
    <xf numFmtId="0" fontId="34" fillId="2" borderId="0" xfId="0" applyFont="1" applyFill="1"/>
    <xf numFmtId="0" fontId="19" fillId="2" borderId="0" xfId="0" applyFont="1" applyFill="1" applyAlignment="1">
      <alignment horizontal="left" vertical="center" wrapText="1"/>
    </xf>
    <xf numFmtId="0" fontId="3" fillId="2" borderId="0" xfId="1" applyFont="1" applyFill="1" applyAlignment="1">
      <alignment horizontal="left"/>
    </xf>
    <xf numFmtId="0" fontId="10" fillId="2" borderId="0" xfId="1" applyFont="1" applyFill="1" applyAlignment="1">
      <alignment horizontal="left"/>
    </xf>
    <xf numFmtId="0" fontId="20" fillId="2" borderId="0" xfId="1" applyFont="1" applyFill="1" applyAlignment="1">
      <alignment wrapText="1"/>
    </xf>
    <xf numFmtId="0" fontId="27" fillId="2" borderId="0" xfId="1" applyFont="1" applyFill="1" applyAlignment="1">
      <alignment horizontal="center" vertical="center" wrapText="1"/>
    </xf>
    <xf numFmtId="0" fontId="29" fillId="2" borderId="0" xfId="1" applyFont="1" applyFill="1" applyAlignment="1">
      <alignment horizontal="center" vertical="center" wrapText="1"/>
    </xf>
    <xf numFmtId="0" fontId="14" fillId="2" borderId="0" xfId="0" applyFont="1" applyFill="1" applyAlignment="1">
      <alignment horizontal="center" vertical="center" wrapText="1"/>
    </xf>
    <xf numFmtId="0" fontId="36" fillId="2" borderId="0" xfId="1" applyFont="1" applyFill="1" applyAlignment="1">
      <alignment horizontal="center" vertical="center" wrapText="1"/>
    </xf>
    <xf numFmtId="0" fontId="2" fillId="2" borderId="0" xfId="0" applyFont="1" applyFill="1" applyAlignment="1">
      <alignment horizontal="left" wrapText="1"/>
    </xf>
    <xf numFmtId="0" fontId="23" fillId="2" borderId="0" xfId="0" applyFont="1" applyFill="1" applyAlignment="1">
      <alignment wrapText="1"/>
    </xf>
    <xf numFmtId="0" fontId="18" fillId="2" borderId="0" xfId="0" applyFont="1" applyFill="1" applyAlignment="1">
      <alignment wrapText="1"/>
    </xf>
    <xf numFmtId="0" fontId="12" fillId="2" borderId="0" xfId="0" applyFont="1" applyFill="1" applyAlignment="1">
      <alignment horizontal="left" wrapText="1"/>
    </xf>
    <xf numFmtId="0" fontId="0" fillId="2" borderId="0" xfId="0" applyFill="1" applyAlignment="1">
      <alignment horizontal="right"/>
    </xf>
    <xf numFmtId="0" fontId="41" fillId="3" borderId="19" xfId="3" applyFont="1" applyFill="1" applyBorder="1" applyAlignment="1">
      <alignment horizontal="left"/>
    </xf>
    <xf numFmtId="0" fontId="41" fillId="3" borderId="33" xfId="3" applyFont="1" applyFill="1" applyBorder="1" applyAlignment="1">
      <alignment horizontal="left"/>
    </xf>
    <xf numFmtId="0" fontId="41" fillId="3" borderId="21" xfId="3" applyFont="1" applyFill="1" applyBorder="1" applyAlignment="1">
      <alignment horizontal="left"/>
    </xf>
    <xf numFmtId="0" fontId="42" fillId="0" borderId="1" xfId="0" applyFont="1" applyBorder="1" applyAlignment="1" applyProtection="1">
      <alignment horizontal="center" vertical="center" wrapText="1"/>
      <protection locked="0"/>
    </xf>
    <xf numFmtId="0" fontId="43" fillId="0" borderId="1" xfId="0" applyFont="1" applyBorder="1" applyAlignment="1" applyProtection="1">
      <alignment horizontal="center"/>
      <protection locked="0"/>
    </xf>
    <xf numFmtId="0" fontId="40" fillId="3" borderId="30" xfId="3" applyFont="1" applyFill="1" applyBorder="1"/>
    <xf numFmtId="0" fontId="40" fillId="3" borderId="9" xfId="3" applyFont="1" applyFill="1" applyBorder="1"/>
    <xf numFmtId="0" fontId="40" fillId="3" borderId="22" xfId="3" applyFont="1" applyFill="1" applyBorder="1"/>
    <xf numFmtId="0" fontId="26" fillId="2" borderId="0" xfId="0" applyFont="1" applyFill="1"/>
    <xf numFmtId="0" fontId="3" fillId="2" borderId="0" xfId="1" applyFont="1" applyFill="1" applyAlignment="1">
      <alignment horizontal="center" vertical="center"/>
    </xf>
    <xf numFmtId="0" fontId="3" fillId="2" borderId="0" xfId="1" applyFont="1" applyFill="1" applyAlignment="1">
      <alignment horizontal="left" vertical="center"/>
    </xf>
    <xf numFmtId="0" fontId="14" fillId="0" borderId="1" xfId="0" applyFont="1" applyBorder="1" applyAlignment="1">
      <alignment horizontal="center"/>
    </xf>
    <xf numFmtId="0" fontId="3" fillId="0" borderId="1" xfId="0" applyFont="1" applyBorder="1" applyAlignment="1" applyProtection="1">
      <alignment horizontal="center" vertical="center"/>
      <protection locked="0"/>
    </xf>
    <xf numFmtId="2" fontId="19" fillId="0" borderId="1" xfId="1" applyNumberFormat="1" applyFont="1" applyBorder="1" applyProtection="1">
      <protection locked="0"/>
    </xf>
    <xf numFmtId="0" fontId="31" fillId="2" borderId="33" xfId="3" applyFont="1" applyFill="1" applyBorder="1" applyAlignment="1">
      <alignment horizontal="left"/>
    </xf>
    <xf numFmtId="0" fontId="19" fillId="0" borderId="1" xfId="1" applyFont="1" applyBorder="1" applyProtection="1">
      <protection locked="0"/>
    </xf>
    <xf numFmtId="0" fontId="31" fillId="2" borderId="25" xfId="3" applyFont="1" applyFill="1" applyBorder="1" applyAlignment="1">
      <alignment horizontal="left"/>
    </xf>
    <xf numFmtId="0" fontId="21" fillId="0" borderId="1" xfId="1" applyFont="1" applyBorder="1" applyAlignment="1">
      <alignment horizontal="center" wrapText="1"/>
    </xf>
    <xf numFmtId="0" fontId="22" fillId="0" borderId="1" xfId="1" applyFont="1" applyBorder="1" applyAlignment="1">
      <alignment horizontal="right"/>
    </xf>
    <xf numFmtId="0" fontId="21" fillId="0" borderId="21" xfId="1" applyFont="1" applyBorder="1" applyAlignment="1">
      <alignment horizontal="center" wrapText="1"/>
    </xf>
    <xf numFmtId="0" fontId="49" fillId="0" borderId="31" xfId="1" applyFont="1" applyBorder="1" applyAlignment="1">
      <alignment vertical="top" wrapText="1"/>
    </xf>
    <xf numFmtId="2" fontId="22" fillId="0" borderId="1" xfId="1" applyNumberFormat="1" applyFont="1" applyBorder="1"/>
    <xf numFmtId="0" fontId="21" fillId="0" borderId="1" xfId="1" applyFont="1" applyBorder="1" applyAlignment="1">
      <alignment horizontal="center" vertical="center" wrapText="1"/>
    </xf>
    <xf numFmtId="0" fontId="0" fillId="0" borderId="1" xfId="0" applyBorder="1"/>
    <xf numFmtId="0" fontId="0" fillId="0" borderId="19" xfId="0" applyBorder="1" applyAlignment="1">
      <alignment wrapText="1"/>
    </xf>
    <xf numFmtId="0" fontId="30" fillId="0" borderId="1" xfId="0" applyFont="1" applyBorder="1" applyAlignment="1">
      <alignment horizontal="right" wrapText="1"/>
    </xf>
    <xf numFmtId="0" fontId="3" fillId="0" borderId="1" xfId="1" applyFont="1" applyBorder="1" applyAlignment="1">
      <alignment vertical="top" wrapText="1"/>
    </xf>
    <xf numFmtId="0" fontId="19" fillId="2" borderId="19" xfId="3" applyFont="1" applyFill="1" applyBorder="1" applyAlignment="1">
      <alignment horizontal="left"/>
    </xf>
    <xf numFmtId="2" fontId="21" fillId="0" borderId="1" xfId="1" applyNumberFormat="1" applyFont="1" applyBorder="1" applyAlignment="1">
      <alignment horizontal="right"/>
    </xf>
    <xf numFmtId="0" fontId="3" fillId="6" borderId="27" xfId="1" applyFont="1" applyFill="1" applyBorder="1" applyAlignment="1">
      <alignment horizontal="center" wrapText="1"/>
    </xf>
    <xf numFmtId="0" fontId="3" fillId="6" borderId="26" xfId="1" applyFont="1" applyFill="1" applyBorder="1" applyAlignment="1">
      <alignment horizontal="center"/>
    </xf>
    <xf numFmtId="0" fontId="3" fillId="6" borderId="26" xfId="1" applyFont="1" applyFill="1" applyBorder="1" applyAlignment="1">
      <alignment horizontal="center" vertical="center" wrapText="1"/>
    </xf>
    <xf numFmtId="0" fontId="3" fillId="6" borderId="32" xfId="1" applyFont="1" applyFill="1" applyBorder="1" applyAlignment="1">
      <alignment horizontal="center" wrapText="1"/>
    </xf>
    <xf numFmtId="0" fontId="3" fillId="6" borderId="7" xfId="1" applyFont="1" applyFill="1" applyBorder="1" applyAlignment="1">
      <alignment horizontal="center" wrapText="1"/>
    </xf>
    <xf numFmtId="0" fontId="0" fillId="0" borderId="19" xfId="0" applyBorder="1"/>
    <xf numFmtId="0" fontId="0" fillId="0" borderId="32" xfId="0" applyBorder="1"/>
    <xf numFmtId="0" fontId="50" fillId="0" borderId="26" xfId="1" applyFont="1" applyBorder="1" applyAlignment="1">
      <alignment horizontal="center" vertical="center"/>
    </xf>
    <xf numFmtId="0" fontId="50" fillId="0" borderId="26" xfId="1" applyFont="1" applyBorder="1" applyAlignment="1">
      <alignment horizontal="center" vertical="center" wrapText="1"/>
    </xf>
    <xf numFmtId="0" fontId="16" fillId="0" borderId="32" xfId="0" applyFont="1" applyBorder="1" applyAlignment="1">
      <alignment vertical="center" wrapText="1"/>
    </xf>
    <xf numFmtId="0" fontId="49" fillId="0" borderId="29" xfId="1" applyFont="1" applyBorder="1" applyAlignment="1">
      <alignment horizontal="center" wrapText="1"/>
    </xf>
    <xf numFmtId="0" fontId="49" fillId="0" borderId="28" xfId="1" applyFont="1" applyBorder="1" applyAlignment="1">
      <alignment horizontal="center"/>
    </xf>
    <xf numFmtId="0" fontId="49" fillId="0" borderId="28" xfId="1" applyFont="1" applyBorder="1" applyAlignment="1">
      <alignment horizontal="center" vertical="center" wrapText="1"/>
    </xf>
    <xf numFmtId="0" fontId="49" fillId="0" borderId="28" xfId="1" applyFont="1" applyBorder="1" applyAlignment="1">
      <alignment horizontal="center" wrapText="1"/>
    </xf>
    <xf numFmtId="0" fontId="50" fillId="0" borderId="27" xfId="1" applyFont="1" applyBorder="1" applyAlignment="1">
      <alignment horizontal="center" vertical="center" wrapText="1"/>
    </xf>
    <xf numFmtId="0" fontId="19" fillId="0" borderId="1" xfId="3" applyFont="1" applyFill="1" applyBorder="1" applyAlignment="1">
      <alignment horizontal="left"/>
    </xf>
    <xf numFmtId="0" fontId="47" fillId="0" borderId="1" xfId="3" applyFont="1" applyFill="1" applyBorder="1" applyAlignment="1">
      <alignment horizontal="left"/>
    </xf>
    <xf numFmtId="2" fontId="0" fillId="0" borderId="0" xfId="0" applyNumberFormat="1" applyAlignment="1">
      <alignment horizontal="center"/>
    </xf>
    <xf numFmtId="0" fontId="20" fillId="2" borderId="0" xfId="1" applyFont="1" applyFill="1" applyAlignment="1">
      <alignment horizontal="center"/>
    </xf>
    <xf numFmtId="0" fontId="42" fillId="0" borderId="29" xfId="0" applyFont="1" applyBorder="1" applyAlignment="1" applyProtection="1">
      <alignment horizontal="center" vertical="center" wrapText="1"/>
      <protection locked="0"/>
    </xf>
    <xf numFmtId="0" fontId="44" fillId="0" borderId="29" xfId="0" applyFont="1" applyBorder="1" applyAlignment="1" applyProtection="1">
      <alignment horizontal="center" wrapText="1"/>
      <protection locked="0"/>
    </xf>
    <xf numFmtId="0" fontId="42" fillId="0" borderId="29" xfId="0" applyFont="1" applyBorder="1" applyAlignment="1" applyProtection="1">
      <alignment horizontal="center" wrapText="1"/>
      <protection locked="0"/>
    </xf>
    <xf numFmtId="0" fontId="42" fillId="0" borderId="0" xfId="0" applyFont="1" applyAlignment="1" applyProtection="1">
      <alignment horizontal="center"/>
      <protection locked="0"/>
    </xf>
    <xf numFmtId="0" fontId="21" fillId="2" borderId="0" xfId="1" applyFont="1" applyFill="1" applyAlignment="1" applyProtection="1">
      <alignment vertical="center" wrapText="1"/>
      <protection locked="0"/>
    </xf>
    <xf numFmtId="0" fontId="42" fillId="0" borderId="1" xfId="0" applyFont="1" applyBorder="1" applyAlignment="1" applyProtection="1">
      <alignment vertical="center" wrapText="1"/>
      <protection locked="0"/>
    </xf>
    <xf numFmtId="0" fontId="0" fillId="0" borderId="31" xfId="0" applyBorder="1"/>
    <xf numFmtId="0" fontId="43" fillId="0" borderId="1" xfId="0" applyFont="1" applyBorder="1" applyAlignment="1">
      <alignment vertical="center"/>
    </xf>
    <xf numFmtId="0" fontId="32" fillId="0" borderId="1" xfId="0" applyFont="1" applyBorder="1" applyAlignment="1" applyProtection="1">
      <alignment vertical="center"/>
      <protection locked="0"/>
    </xf>
    <xf numFmtId="20" fontId="0" fillId="0" borderId="0" xfId="0" applyNumberFormat="1"/>
    <xf numFmtId="0" fontId="53" fillId="3" borderId="34" xfId="0" applyFont="1" applyFill="1" applyBorder="1" applyAlignment="1">
      <alignment horizontal="left"/>
    </xf>
    <xf numFmtId="0" fontId="53" fillId="3" borderId="4" xfId="0" applyFont="1" applyFill="1" applyBorder="1" applyAlignment="1">
      <alignment horizontal="left"/>
    </xf>
    <xf numFmtId="0" fontId="53" fillId="3" borderId="25" xfId="0" applyFont="1" applyFill="1" applyBorder="1" applyAlignment="1">
      <alignment horizontal="left"/>
    </xf>
    <xf numFmtId="0" fontId="0" fillId="0" borderId="42" xfId="0" applyBorder="1"/>
    <xf numFmtId="0" fontId="21" fillId="0" borderId="0" xfId="1" applyFont="1" applyAlignment="1">
      <alignment wrapText="1"/>
    </xf>
    <xf numFmtId="0" fontId="19" fillId="0" borderId="0" xfId="1" applyFont="1" applyProtection="1">
      <protection locked="0"/>
    </xf>
    <xf numFmtId="0" fontId="21" fillId="0" borderId="0" xfId="1" applyFont="1" applyAlignment="1">
      <alignment horizontal="right"/>
    </xf>
    <xf numFmtId="0" fontId="21" fillId="0" borderId="0" xfId="1" applyFont="1" applyAlignment="1">
      <alignment vertical="center" wrapText="1"/>
    </xf>
    <xf numFmtId="0" fontId="21" fillId="0" borderId="0" xfId="1" applyFont="1" applyAlignment="1">
      <alignment horizontal="left" vertical="center" wrapText="1"/>
    </xf>
    <xf numFmtId="0" fontId="21" fillId="10" borderId="23" xfId="1" applyFont="1" applyFill="1" applyBorder="1" applyAlignment="1">
      <alignment horizontal="center" wrapText="1"/>
    </xf>
    <xf numFmtId="2" fontId="22" fillId="10" borderId="23" xfId="1" applyNumberFormat="1" applyFont="1" applyFill="1" applyBorder="1" applyProtection="1">
      <protection locked="0"/>
    </xf>
    <xf numFmtId="0" fontId="22" fillId="10" borderId="23" xfId="1" applyFont="1" applyFill="1" applyBorder="1" applyAlignment="1">
      <alignment horizontal="right"/>
    </xf>
    <xf numFmtId="0" fontId="21" fillId="10" borderId="23" xfId="1" applyFont="1" applyFill="1" applyBorder="1" applyAlignment="1" applyProtection="1">
      <alignment horizontal="left" vertical="center"/>
      <protection locked="0"/>
    </xf>
    <xf numFmtId="0" fontId="21" fillId="10" borderId="23" xfId="1" applyFont="1" applyFill="1" applyBorder="1" applyAlignment="1" applyProtection="1">
      <alignment horizontal="center" vertical="center" wrapText="1"/>
      <protection locked="0"/>
    </xf>
    <xf numFmtId="0" fontId="3" fillId="10" borderId="23" xfId="1" applyFont="1" applyFill="1" applyBorder="1" applyAlignment="1">
      <alignment vertical="top" wrapText="1"/>
    </xf>
    <xf numFmtId="0" fontId="21" fillId="10" borderId="26" xfId="1" applyFont="1" applyFill="1" applyBorder="1" applyAlignment="1">
      <alignment horizontal="center" wrapText="1"/>
    </xf>
    <xf numFmtId="0" fontId="21" fillId="10" borderId="1" xfId="1" applyFont="1" applyFill="1" applyBorder="1" applyAlignment="1">
      <alignment horizontal="center" wrapText="1"/>
    </xf>
    <xf numFmtId="0" fontId="51" fillId="2" borderId="0" xfId="0" applyFont="1" applyFill="1" applyAlignment="1">
      <alignment vertical="center"/>
    </xf>
    <xf numFmtId="0" fontId="53" fillId="3" borderId="0" xfId="0" applyFont="1" applyFill="1"/>
    <xf numFmtId="0" fontId="49" fillId="0" borderId="31" xfId="1" applyFont="1" applyBorder="1" applyAlignment="1">
      <alignment horizontal="center" wrapText="1"/>
    </xf>
    <xf numFmtId="0" fontId="21" fillId="0" borderId="23" xfId="1" applyFont="1" applyBorder="1" applyAlignment="1">
      <alignment horizontal="center" wrapText="1"/>
    </xf>
    <xf numFmtId="2" fontId="22" fillId="0" borderId="23" xfId="1" applyNumberFormat="1" applyFont="1" applyBorder="1" applyProtection="1">
      <protection locked="0"/>
    </xf>
    <xf numFmtId="0" fontId="22" fillId="0" borderId="23" xfId="1" applyFont="1" applyBorder="1" applyAlignment="1">
      <alignment horizontal="right"/>
    </xf>
    <xf numFmtId="0" fontId="21" fillId="0" borderId="23" xfId="1" applyFont="1" applyBorder="1" applyAlignment="1" applyProtection="1">
      <alignment horizontal="center" vertical="center" wrapText="1"/>
      <protection locked="0"/>
    </xf>
    <xf numFmtId="0" fontId="21" fillId="0" borderId="34" xfId="1" applyFont="1" applyBorder="1" applyAlignment="1" applyProtection="1">
      <alignment horizontal="center" vertical="center" wrapText="1"/>
      <protection locked="0"/>
    </xf>
    <xf numFmtId="0" fontId="31" fillId="2" borderId="21" xfId="3" applyFont="1" applyFill="1" applyBorder="1" applyAlignment="1">
      <alignment horizontal="left"/>
    </xf>
    <xf numFmtId="0" fontId="45" fillId="11" borderId="1" xfId="0" applyFont="1" applyFill="1" applyBorder="1" applyAlignment="1">
      <alignment horizontal="center" vertical="center" wrapText="1"/>
    </xf>
    <xf numFmtId="0" fontId="0" fillId="3" borderId="0" xfId="0" applyFill="1"/>
    <xf numFmtId="0" fontId="0" fillId="9" borderId="19" xfId="0" applyFill="1" applyBorder="1"/>
    <xf numFmtId="0" fontId="0" fillId="8" borderId="1" xfId="0" applyFill="1" applyBorder="1" applyAlignment="1">
      <alignment horizontal="center" vertical="center"/>
    </xf>
    <xf numFmtId="0" fontId="2" fillId="2" borderId="43" xfId="0" applyFont="1" applyFill="1" applyBorder="1"/>
    <xf numFmtId="0" fontId="39" fillId="2" borderId="14" xfId="0" applyFont="1" applyFill="1" applyBorder="1"/>
    <xf numFmtId="0" fontId="0" fillId="2" borderId="14" xfId="0" applyFill="1" applyBorder="1"/>
    <xf numFmtId="0" fontId="0" fillId="2" borderId="44" xfId="0" applyFill="1" applyBorder="1"/>
    <xf numFmtId="14" fontId="39" fillId="2" borderId="0" xfId="0" applyNumberFormat="1" applyFont="1" applyFill="1" applyAlignment="1">
      <alignment horizontal="left"/>
    </xf>
    <xf numFmtId="0" fontId="6" fillId="2" borderId="0" xfId="1" applyFont="1" applyFill="1" applyAlignment="1">
      <alignment horizontal="center" vertical="center"/>
    </xf>
    <xf numFmtId="0" fontId="1" fillId="2" borderId="0" xfId="0" applyFont="1" applyFill="1"/>
    <xf numFmtId="0" fontId="21" fillId="12" borderId="1" xfId="1" applyFont="1" applyFill="1" applyBorder="1" applyAlignment="1">
      <alignment horizontal="center" wrapText="1"/>
    </xf>
    <xf numFmtId="2" fontId="22" fillId="12" borderId="1" xfId="1" applyNumberFormat="1" applyFont="1" applyFill="1" applyBorder="1" applyProtection="1">
      <protection locked="0"/>
    </xf>
    <xf numFmtId="0" fontId="22" fillId="12" borderId="1" xfId="1" applyFont="1" applyFill="1" applyBorder="1" applyAlignment="1">
      <alignment horizontal="right"/>
    </xf>
    <xf numFmtId="0" fontId="21" fillId="12" borderId="1" xfId="1" applyFont="1" applyFill="1" applyBorder="1" applyAlignment="1" applyProtection="1">
      <alignment horizontal="center" vertical="center" wrapText="1"/>
      <protection locked="0"/>
    </xf>
    <xf numFmtId="0" fontId="5" fillId="12" borderId="1" xfId="1" applyFill="1" applyBorder="1" applyAlignment="1">
      <alignment vertical="top" wrapText="1"/>
    </xf>
    <xf numFmtId="0" fontId="21" fillId="9" borderId="21" xfId="1" applyFont="1" applyFill="1" applyBorder="1" applyAlignment="1">
      <alignment horizontal="center" wrapText="1"/>
    </xf>
    <xf numFmtId="2" fontId="22" fillId="9" borderId="1" xfId="1" applyNumberFormat="1" applyFont="1" applyFill="1" applyBorder="1" applyProtection="1">
      <protection locked="0"/>
    </xf>
    <xf numFmtId="2" fontId="21" fillId="9" borderId="1" xfId="1" applyNumberFormat="1" applyFont="1" applyFill="1" applyBorder="1" applyAlignment="1">
      <alignment horizontal="right"/>
    </xf>
    <xf numFmtId="0" fontId="21" fillId="9" borderId="1" xfId="1" applyFont="1" applyFill="1" applyBorder="1" applyAlignment="1" applyProtection="1">
      <alignment horizontal="center" vertical="center" wrapText="1"/>
      <protection locked="0"/>
    </xf>
    <xf numFmtId="0" fontId="16" fillId="3" borderId="0" xfId="0" applyFont="1" applyFill="1"/>
    <xf numFmtId="0" fontId="56" fillId="3" borderId="0" xfId="0" applyFont="1" applyFill="1"/>
    <xf numFmtId="0" fontId="55" fillId="14" borderId="45" xfId="0" applyFont="1" applyFill="1" applyBorder="1"/>
    <xf numFmtId="0" fontId="55" fillId="14" borderId="0" xfId="0" applyFont="1" applyFill="1"/>
    <xf numFmtId="0" fontId="55" fillId="14" borderId="31" xfId="0" applyFont="1" applyFill="1" applyBorder="1"/>
    <xf numFmtId="0" fontId="2" fillId="2" borderId="46" xfId="0" applyFont="1" applyFill="1" applyBorder="1"/>
    <xf numFmtId="0" fontId="55" fillId="14" borderId="0" xfId="0" applyFont="1" applyFill="1" applyAlignment="1">
      <alignment wrapText="1"/>
    </xf>
    <xf numFmtId="0" fontId="53" fillId="3" borderId="48" xfId="0" applyFont="1" applyFill="1" applyBorder="1" applyAlignment="1">
      <alignment horizontal="left"/>
    </xf>
    <xf numFmtId="0" fontId="53" fillId="3" borderId="49" xfId="0" applyFont="1" applyFill="1" applyBorder="1" applyAlignment="1">
      <alignment horizontal="left"/>
    </xf>
    <xf numFmtId="0" fontId="2" fillId="2" borderId="46" xfId="0" applyFont="1" applyFill="1" applyBorder="1" applyAlignment="1">
      <alignment wrapText="1"/>
    </xf>
    <xf numFmtId="0" fontId="0" fillId="3" borderId="47" xfId="0" applyFill="1" applyBorder="1"/>
    <xf numFmtId="0" fontId="0" fillId="0" borderId="0" xfId="0" applyAlignment="1">
      <alignment horizontal="center"/>
    </xf>
    <xf numFmtId="0" fontId="2" fillId="15" borderId="46" xfId="0" applyFont="1" applyFill="1" applyBorder="1" applyAlignment="1">
      <alignment horizontal="center"/>
    </xf>
    <xf numFmtId="0" fontId="53" fillId="0" borderId="0" xfId="0" applyFont="1" applyAlignment="1">
      <alignment horizontal="left"/>
    </xf>
    <xf numFmtId="0" fontId="0" fillId="9" borderId="1" xfId="0" applyFill="1" applyBorder="1"/>
    <xf numFmtId="0" fontId="0" fillId="8" borderId="19" xfId="0" applyFill="1" applyBorder="1"/>
    <xf numFmtId="0" fontId="0" fillId="8" borderId="1" xfId="0" applyFill="1" applyBorder="1"/>
    <xf numFmtId="0" fontId="0" fillId="10" borderId="19" xfId="0" applyFill="1" applyBorder="1"/>
    <xf numFmtId="0" fontId="32" fillId="2" borderId="16" xfId="1" applyFont="1" applyFill="1" applyBorder="1" applyAlignment="1">
      <alignment horizontal="left"/>
    </xf>
    <xf numFmtId="0" fontId="0" fillId="2" borderId="0" xfId="0" applyFill="1"/>
    <xf numFmtId="0" fontId="0" fillId="0" borderId="16" xfId="0" applyBorder="1"/>
    <xf numFmtId="0" fontId="32" fillId="2" borderId="16" xfId="1" applyFont="1" applyFill="1" applyBorder="1" applyAlignment="1">
      <alignment horizontal="left" vertical="top" wrapText="1"/>
    </xf>
    <xf numFmtId="0" fontId="39" fillId="2" borderId="0" xfId="0" applyFont="1" applyFill="1" applyAlignment="1">
      <alignment horizontal="center" wrapText="1"/>
    </xf>
    <xf numFmtId="0" fontId="39" fillId="2" borderId="18" xfId="0" applyFont="1" applyFill="1" applyBorder="1" applyAlignment="1">
      <alignment horizontal="center" wrapText="1"/>
    </xf>
    <xf numFmtId="0" fontId="32" fillId="2" borderId="0" xfId="1" applyFont="1" applyFill="1" applyAlignment="1">
      <alignment horizontal="left" wrapText="1"/>
    </xf>
    <xf numFmtId="0" fontId="32" fillId="2" borderId="16" xfId="1" applyFont="1" applyFill="1" applyBorder="1" applyAlignment="1">
      <alignment horizontal="left" wrapText="1"/>
    </xf>
    <xf numFmtId="0" fontId="3" fillId="2" borderId="38" xfId="1" applyFont="1" applyFill="1" applyBorder="1" applyAlignment="1">
      <alignment horizontal="center" vertical="center"/>
    </xf>
    <xf numFmtId="0" fontId="0" fillId="0" borderId="4" xfId="0" applyBorder="1"/>
    <xf numFmtId="0" fontId="0" fillId="0" borderId="5" xfId="0" applyBorder="1"/>
    <xf numFmtId="0" fontId="0" fillId="0" borderId="7" xfId="0" applyBorder="1"/>
    <xf numFmtId="0" fontId="0" fillId="0" borderId="8" xfId="0" applyBorder="1"/>
    <xf numFmtId="0" fontId="3" fillId="2" borderId="33" xfId="1" applyFont="1" applyFill="1" applyBorder="1" applyAlignment="1">
      <alignment horizontal="center" vertical="center"/>
    </xf>
    <xf numFmtId="0" fontId="3" fillId="2" borderId="37" xfId="1" applyFont="1" applyFill="1" applyBorder="1" applyAlignment="1">
      <alignment horizontal="center" vertical="center"/>
    </xf>
    <xf numFmtId="0" fontId="0" fillId="0" borderId="6" xfId="0" applyBorder="1"/>
    <xf numFmtId="0" fontId="8" fillId="3" borderId="36" xfId="1" applyFont="1" applyFill="1" applyBorder="1" applyAlignment="1">
      <alignment horizontal="center" vertical="center"/>
    </xf>
    <xf numFmtId="0" fontId="0" fillId="0" borderId="2" xfId="0" applyBorder="1"/>
    <xf numFmtId="0" fontId="0" fillId="0" borderId="3" xfId="0" applyBorder="1"/>
    <xf numFmtId="0" fontId="39" fillId="2" borderId="16" xfId="0" applyFont="1" applyFill="1" applyBorder="1" applyAlignment="1">
      <alignment horizontal="left" vertical="top" wrapText="1"/>
    </xf>
    <xf numFmtId="0" fontId="8" fillId="3" borderId="39" xfId="1" applyFont="1" applyFill="1" applyBorder="1" applyAlignment="1">
      <alignment horizontal="center" vertical="center"/>
    </xf>
    <xf numFmtId="0" fontId="0" fillId="0" borderId="9" xfId="0" applyBorder="1"/>
    <xf numFmtId="0" fontId="0" fillId="0" borderId="10" xfId="0" applyBorder="1"/>
    <xf numFmtId="0" fontId="30" fillId="2" borderId="35" xfId="0" applyFont="1" applyFill="1" applyBorder="1" applyAlignment="1">
      <alignment horizontal="left" wrapText="1"/>
    </xf>
    <xf numFmtId="0" fontId="0" fillId="2" borderId="0" xfId="0" applyFill="1" applyAlignment="1">
      <alignment horizontal="center" wrapText="1"/>
    </xf>
    <xf numFmtId="0" fontId="21" fillId="7" borderId="1" xfId="1" applyFont="1" applyFill="1" applyBorder="1" applyAlignment="1" applyProtection="1">
      <alignment horizontal="center" vertical="center" wrapText="1"/>
      <protection locked="0"/>
    </xf>
    <xf numFmtId="0" fontId="0" fillId="0" borderId="33" xfId="0" applyBorder="1" applyProtection="1">
      <protection locked="0"/>
    </xf>
    <xf numFmtId="0" fontId="0" fillId="0" borderId="21" xfId="0" applyBorder="1" applyProtection="1">
      <protection locked="0"/>
    </xf>
    <xf numFmtId="0" fontId="0" fillId="2" borderId="0" xfId="0" applyFill="1" applyAlignment="1">
      <alignment vertical="center" wrapText="1"/>
    </xf>
    <xf numFmtId="0" fontId="0" fillId="2" borderId="0" xfId="0" applyFill="1" applyAlignment="1">
      <alignment horizontal="left" vertical="center" wrapText="1"/>
    </xf>
    <xf numFmtId="0" fontId="37" fillId="2" borderId="0" xfId="0" applyFont="1" applyFill="1" applyAlignment="1">
      <alignment horizontal="left" wrapText="1"/>
    </xf>
    <xf numFmtId="0" fontId="0" fillId="2" borderId="0" xfId="0" applyFill="1" applyAlignment="1">
      <alignment horizontal="left"/>
    </xf>
    <xf numFmtId="0" fontId="2" fillId="2" borderId="0" xfId="0" applyFont="1" applyFill="1" applyAlignment="1">
      <alignment horizontal="center" wrapText="1"/>
    </xf>
    <xf numFmtId="0" fontId="21" fillId="10" borderId="32" xfId="1" applyFont="1" applyFill="1" applyBorder="1" applyAlignment="1" applyProtection="1">
      <alignment horizontal="center" vertical="center" wrapText="1"/>
      <protection locked="0"/>
    </xf>
    <xf numFmtId="0" fontId="21" fillId="10" borderId="7" xfId="1" applyFont="1" applyFill="1" applyBorder="1" applyAlignment="1" applyProtection="1">
      <alignment horizontal="center" vertical="center" wrapText="1"/>
      <protection locked="0"/>
    </xf>
    <xf numFmtId="0" fontId="21" fillId="10" borderId="27" xfId="1" applyFont="1" applyFill="1" applyBorder="1" applyAlignment="1" applyProtection="1">
      <alignment horizontal="center" vertical="center" wrapText="1"/>
      <protection locked="0"/>
    </xf>
    <xf numFmtId="0" fontId="0" fillId="2" borderId="0" xfId="0" applyFill="1" applyAlignment="1">
      <alignment horizontal="left" wrapText="1"/>
    </xf>
    <xf numFmtId="0" fontId="21" fillId="10" borderId="19" xfId="1" applyFont="1" applyFill="1" applyBorder="1" applyAlignment="1" applyProtection="1">
      <alignment horizontal="center" vertical="center" wrapText="1"/>
      <protection locked="0"/>
    </xf>
    <xf numFmtId="0" fontId="21" fillId="10" borderId="33" xfId="1" applyFont="1" applyFill="1" applyBorder="1" applyAlignment="1" applyProtection="1">
      <alignment horizontal="center" vertical="center" wrapText="1"/>
      <protection locked="0"/>
    </xf>
    <xf numFmtId="0" fontId="21" fillId="10" borderId="21" xfId="1" applyFont="1" applyFill="1" applyBorder="1" applyAlignment="1" applyProtection="1">
      <alignment horizontal="center" vertical="center" wrapText="1"/>
      <protection locked="0"/>
    </xf>
    <xf numFmtId="0" fontId="3" fillId="2" borderId="21" xfId="1" applyFont="1" applyFill="1" applyBorder="1" applyAlignment="1">
      <alignment horizontal="center" vertical="center" wrapText="1"/>
    </xf>
    <xf numFmtId="0" fontId="0" fillId="0" borderId="25" xfId="0" applyBorder="1"/>
    <xf numFmtId="0" fontId="0" fillId="0" borderId="27" xfId="0" applyBorder="1"/>
    <xf numFmtId="0" fontId="3" fillId="2" borderId="19" xfId="1" applyFont="1" applyFill="1" applyBorder="1" applyAlignment="1">
      <alignment horizontal="center" vertical="center"/>
    </xf>
    <xf numFmtId="0" fontId="0" fillId="0" borderId="32" xfId="0" applyBorder="1"/>
    <xf numFmtId="0" fontId="31" fillId="3" borderId="1" xfId="3" applyFont="1" applyFill="1" applyBorder="1" applyAlignment="1">
      <alignment horizontal="left"/>
    </xf>
    <xf numFmtId="0" fontId="0" fillId="0" borderId="33" xfId="0" applyBorder="1"/>
    <xf numFmtId="0" fontId="0" fillId="0" borderId="21" xfId="0" applyBorder="1"/>
    <xf numFmtId="0" fontId="47" fillId="3" borderId="19" xfId="3" applyFont="1" applyFill="1" applyBorder="1" applyAlignment="1">
      <alignment horizontal="left"/>
    </xf>
    <xf numFmtId="0" fontId="47" fillId="3" borderId="33" xfId="3" applyFont="1" applyFill="1" applyBorder="1" applyAlignment="1">
      <alignment horizontal="left"/>
    </xf>
    <xf numFmtId="0" fontId="47" fillId="3" borderId="21" xfId="3" applyFont="1" applyFill="1" applyBorder="1" applyAlignment="1">
      <alignment horizontal="left"/>
    </xf>
    <xf numFmtId="0" fontId="47" fillId="3" borderId="32" xfId="3" applyFont="1" applyFill="1" applyBorder="1" applyAlignment="1">
      <alignment horizontal="left"/>
    </xf>
    <xf numFmtId="0" fontId="47" fillId="3" borderId="7" xfId="3" applyFont="1" applyFill="1" applyBorder="1" applyAlignment="1">
      <alignment horizontal="left"/>
    </xf>
    <xf numFmtId="0" fontId="0" fillId="2" borderId="7" xfId="0" applyFill="1" applyBorder="1" applyAlignment="1">
      <alignment horizontal="left" wrapText="1"/>
    </xf>
    <xf numFmtId="0" fontId="0" fillId="2" borderId="0" xfId="0" applyFill="1" applyAlignment="1">
      <alignment horizontal="center"/>
    </xf>
    <xf numFmtId="0" fontId="4" fillId="2" borderId="0" xfId="1" applyFont="1" applyFill="1" applyAlignment="1">
      <alignment horizontal="center" wrapText="1"/>
    </xf>
    <xf numFmtId="0" fontId="37" fillId="2" borderId="0" xfId="0" applyFont="1" applyFill="1" applyAlignment="1">
      <alignment horizontal="left" vertical="top" wrapText="1"/>
    </xf>
    <xf numFmtId="0" fontId="2" fillId="2" borderId="41" xfId="0" applyFont="1" applyFill="1" applyBorder="1" applyAlignment="1">
      <alignment horizontal="center"/>
    </xf>
    <xf numFmtId="0" fontId="0" fillId="0" borderId="11" xfId="0" applyBorder="1"/>
    <xf numFmtId="0" fontId="0" fillId="0" borderId="12" xfId="0" applyBorder="1"/>
    <xf numFmtId="0" fontId="48" fillId="3" borderId="40" xfId="3" applyFont="1" applyFill="1" applyBorder="1" applyAlignment="1">
      <alignment horizontal="left"/>
    </xf>
    <xf numFmtId="0" fontId="0" fillId="0" borderId="14" xfId="0" applyBorder="1"/>
    <xf numFmtId="0" fontId="0" fillId="0" borderId="20" xfId="0" applyBorder="1"/>
    <xf numFmtId="0" fontId="41" fillId="3" borderId="23" xfId="1" applyFont="1" applyFill="1" applyBorder="1" applyAlignment="1">
      <alignment horizontal="left"/>
    </xf>
    <xf numFmtId="0" fontId="8" fillId="3" borderId="1" xfId="4" applyFont="1" applyFill="1" applyBorder="1" applyAlignment="1">
      <alignment horizontal="center" vertical="center"/>
    </xf>
    <xf numFmtId="0" fontId="21" fillId="6" borderId="1" xfId="1" applyFont="1" applyFill="1" applyBorder="1" applyAlignment="1">
      <alignment horizontal="left" wrapText="1"/>
    </xf>
    <xf numFmtId="0" fontId="0" fillId="0" borderId="0" xfId="0" applyAlignment="1">
      <alignment horizontal="center"/>
    </xf>
    <xf numFmtId="0" fontId="53" fillId="3" borderId="1" xfId="0" applyFont="1" applyFill="1" applyBorder="1" applyAlignment="1">
      <alignment horizontal="left"/>
    </xf>
    <xf numFmtId="0" fontId="2" fillId="0" borderId="33" xfId="0" applyFont="1" applyBorder="1"/>
    <xf numFmtId="0" fontId="2" fillId="0" borderId="21" xfId="0" applyFont="1" applyBorder="1"/>
    <xf numFmtId="0" fontId="46" fillId="3" borderId="1" xfId="4" applyFont="1" applyFill="1" applyBorder="1" applyAlignment="1">
      <alignment horizontal="center" vertical="center"/>
    </xf>
    <xf numFmtId="0" fontId="16" fillId="13" borderId="1" xfId="0" applyFont="1" applyFill="1" applyBorder="1" applyAlignment="1">
      <alignment horizontal="center" vertical="center" wrapText="1"/>
    </xf>
    <xf numFmtId="0" fontId="14" fillId="0" borderId="1" xfId="0" applyFont="1" applyBorder="1" applyAlignment="1">
      <alignment horizontal="center" vertical="center"/>
    </xf>
    <xf numFmtId="0" fontId="26" fillId="4" borderId="1" xfId="0" applyFont="1" applyFill="1" applyBorder="1" applyAlignment="1" applyProtection="1">
      <alignment horizontal="center" vertical="center"/>
      <protection locked="0"/>
    </xf>
    <xf numFmtId="0" fontId="0" fillId="0" borderId="0" xfId="0" applyAlignment="1">
      <alignment horizontal="left" vertical="center" wrapText="1"/>
    </xf>
    <xf numFmtId="0" fontId="0" fillId="0" borderId="0" xfId="0"/>
    <xf numFmtId="0" fontId="3" fillId="2" borderId="34" xfId="1" applyFont="1" applyFill="1" applyBorder="1" applyAlignment="1">
      <alignment horizontal="left" vertical="top" wrapText="1"/>
    </xf>
    <xf numFmtId="0" fontId="3" fillId="2" borderId="4" xfId="1" applyFont="1" applyFill="1" applyBorder="1" applyAlignment="1">
      <alignment horizontal="left" vertical="top" wrapText="1"/>
    </xf>
    <xf numFmtId="0" fontId="3" fillId="2" borderId="25" xfId="1" applyFont="1" applyFill="1" applyBorder="1" applyAlignment="1">
      <alignment horizontal="left" vertical="top" wrapText="1"/>
    </xf>
    <xf numFmtId="0" fontId="3" fillId="2" borderId="32" xfId="1" applyFont="1" applyFill="1" applyBorder="1" applyAlignment="1">
      <alignment horizontal="left" vertical="top" wrapText="1"/>
    </xf>
    <xf numFmtId="0" fontId="3" fillId="2" borderId="7" xfId="1" applyFont="1" applyFill="1" applyBorder="1" applyAlignment="1">
      <alignment horizontal="left" vertical="top" wrapText="1"/>
    </xf>
    <xf numFmtId="0" fontId="3" fillId="2" borderId="27" xfId="1" applyFont="1" applyFill="1" applyBorder="1" applyAlignment="1">
      <alignment horizontal="left" vertical="top" wrapText="1"/>
    </xf>
    <xf numFmtId="0" fontId="0" fillId="10" borderId="19" xfId="0" applyFill="1" applyBorder="1" applyAlignment="1">
      <alignment horizontal="left"/>
    </xf>
    <xf numFmtId="0" fontId="0" fillId="10" borderId="33" xfId="0" applyFill="1" applyBorder="1" applyAlignment="1">
      <alignment horizontal="left"/>
    </xf>
    <xf numFmtId="0" fontId="0" fillId="10" borderId="21" xfId="0" applyFill="1" applyBorder="1" applyAlignment="1">
      <alignment horizontal="left"/>
    </xf>
    <xf numFmtId="0" fontId="0" fillId="0" borderId="0" xfId="0" applyAlignment="1">
      <alignment horizontal="left" wrapText="1"/>
    </xf>
    <xf numFmtId="0" fontId="37" fillId="0" borderId="0" xfId="0" applyFont="1" applyAlignment="1">
      <alignment horizontal="left" wrapText="1"/>
    </xf>
    <xf numFmtId="0" fontId="0" fillId="10" borderId="32" xfId="0" applyFill="1" applyBorder="1" applyAlignment="1">
      <alignment horizontal="left"/>
    </xf>
    <xf numFmtId="0" fontId="0" fillId="10" borderId="7" xfId="0" applyFill="1" applyBorder="1" applyAlignment="1">
      <alignment horizontal="left"/>
    </xf>
    <xf numFmtId="0" fontId="0" fillId="10" borderId="27" xfId="0" applyFill="1" applyBorder="1" applyAlignment="1">
      <alignment horizontal="left"/>
    </xf>
  </cellXfs>
  <cellStyles count="8">
    <cellStyle name="Accent1" xfId="3" builtinId="29"/>
    <cellStyle name="Milliers 2" xfId="6" xr:uid="{00000000-0005-0000-0000-000006000000}"/>
    <cellStyle name="Milliers 3" xfId="5" xr:uid="{00000000-0005-0000-0000-000005000000}"/>
    <cellStyle name="Normal" xfId="0" builtinId="0"/>
    <cellStyle name="Normal 2" xfId="1" xr:uid="{00000000-0005-0000-0000-000001000000}"/>
    <cellStyle name="Normal 2 2" xfId="4" xr:uid="{00000000-0005-0000-0000-000004000000}"/>
    <cellStyle name="Normal 3" xfId="2" xr:uid="{00000000-0005-0000-0000-000002000000}"/>
    <cellStyle name="Pourcentage" xfId="7" builtinId="5"/>
  </cellStyles>
  <dxfs count="12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11"/>
        <color theme="1"/>
        <name val="Calibri"/>
        <family val="2"/>
        <scheme val="minor"/>
      </font>
      <fill>
        <patternFill patternType="solid">
          <fgColor indexed="64"/>
          <bgColor rgb="FF77B5FE"/>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font>
        <strike val="0"/>
        <outline val="0"/>
        <shadow val="0"/>
        <u val="none"/>
        <vertAlign val="baseline"/>
        <sz val="11"/>
        <color theme="1"/>
        <name val="Calibri"/>
        <family val="2"/>
        <scheme val="minor"/>
      </font>
      <fill>
        <patternFill patternType="solid">
          <fgColor indexed="64"/>
          <bgColor theme="0"/>
        </patternFill>
      </fill>
      <border diagonalUp="0" diagonalDown="0" outline="0">
        <left style="thin">
          <color theme="1"/>
        </left>
        <right style="thin">
          <color theme="1"/>
        </right>
        <top style="thin">
          <color theme="1"/>
        </top>
        <bottom style="thin">
          <color theme="1"/>
        </bottom>
      </border>
    </dxf>
    <dxf>
      <font>
        <strike val="0"/>
        <outline val="0"/>
        <shadow val="0"/>
        <u val="none"/>
        <vertAlign val="baseline"/>
        <sz val="11"/>
        <color theme="1"/>
        <name val="Calibri"/>
        <family val="2"/>
        <scheme val="minor"/>
      </font>
      <fill>
        <patternFill patternType="solid">
          <fgColor indexed="64"/>
          <bgColor theme="0"/>
        </patternFill>
      </fill>
      <border diagonalUp="0" diagonalDown="0" outline="0">
        <left style="thin">
          <color theme="1"/>
        </left>
        <right style="thin">
          <color theme="1"/>
        </right>
        <top style="thin">
          <color theme="1"/>
        </top>
        <bottom style="thin">
          <color theme="1"/>
        </bottom>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border outline="0">
        <top style="thin">
          <color theme="1"/>
        </top>
      </border>
    </dxf>
    <dxf>
      <font>
        <strike val="0"/>
        <outline val="0"/>
        <shadow val="0"/>
        <u val="none"/>
        <vertAlign val="baseline"/>
        <sz val="11"/>
        <color theme="1"/>
        <name val="Calibri"/>
        <family val="2"/>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1"/>
        <color theme="1"/>
        <name val="Calibri"/>
        <family val="2"/>
        <scheme val="minor"/>
      </font>
      <fill>
        <patternFill patternType="solid">
          <fgColor indexed="64"/>
          <bgColor theme="0"/>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rgb="FF90EE90"/>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fill>
        <patternFill patternType="none">
          <fgColor indexed="64"/>
          <bgColor auto="1"/>
        </patternFill>
      </fill>
    </dxf>
    <dxf>
      <font>
        <strike val="0"/>
        <outline val="0"/>
        <shadow val="0"/>
        <vertAlign val="baseline"/>
        <sz val="11"/>
        <color theme="1"/>
        <name val="Calibri"/>
        <family val="2"/>
        <scheme val="minor"/>
      </font>
      <fill>
        <patternFill patternType="solid">
          <fgColor indexed="64"/>
          <bgColor rgb="FF90EE90"/>
        </patternFill>
      </fill>
      <border diagonalUp="0" diagonalDown="0" outline="0">
        <left style="thin">
          <color indexed="64"/>
        </left>
        <right/>
        <top style="thin">
          <color indexed="64"/>
        </top>
        <bottom style="thin">
          <color indexed="64"/>
        </bottom>
      </border>
    </dxf>
    <dxf>
      <font>
        <strike val="0"/>
        <outline val="0"/>
        <shadow val="0"/>
        <vertAlign val="baseline"/>
        <sz val="11"/>
        <color theme="1"/>
        <name val="Calibri"/>
        <family val="2"/>
        <scheme val="minor"/>
      </font>
      <fill>
        <patternFill>
          <fgColor indexed="64"/>
          <bgColor auto="1"/>
        </patternFill>
      </fill>
      <border outline="0">
        <left style="thin">
          <color indexed="64"/>
        </left>
        <right/>
        <top style="thin">
          <color indexed="64"/>
        </top>
        <bottom style="thin">
          <color indexed="64"/>
        </bottom>
      </border>
    </dxf>
    <dxf>
      <font>
        <strike val="0"/>
        <outline val="0"/>
        <shadow val="0"/>
        <vertAlign val="baseline"/>
        <sz val="11"/>
        <color theme="1"/>
        <name val="Calibri"/>
        <family val="2"/>
        <scheme val="minor"/>
      </font>
      <fill>
        <patternFill>
          <fgColor indexed="64"/>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color theme="1"/>
        <name val="Calibri"/>
        <family val="2"/>
        <scheme val="minor"/>
      </font>
      <fill>
        <patternFill>
          <fgColor indexed="64"/>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color theme="1"/>
        <name val="Calibri"/>
        <family val="2"/>
        <scheme val="minor"/>
      </font>
      <fill>
        <patternFill>
          <fgColor indexed="64"/>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color theme="1"/>
        <name val="Calibri"/>
        <family val="2"/>
        <scheme val="minor"/>
      </font>
      <numFmt numFmtId="0" formatCode="General"/>
      <fill>
        <patternFill>
          <fgColor indexed="64"/>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right style="thin">
          <color indexed="64"/>
        </right>
        <top style="thin">
          <color indexed="64"/>
        </top>
        <bottom style="thin">
          <color indexed="64"/>
        </bottom>
      </border>
    </dxf>
    <dxf>
      <font>
        <strike val="0"/>
        <outline val="0"/>
        <shadow val="0"/>
        <vertAlign val="baseline"/>
        <sz val="11"/>
        <color theme="1"/>
        <name val="Calibri"/>
        <family val="2"/>
        <scheme val="minor"/>
      </font>
      <fill>
        <patternFill>
          <fgColor indexed="64"/>
          <bgColor auto="1"/>
        </patternFill>
      </fill>
    </dxf>
    <dxf>
      <font>
        <strike val="0"/>
        <condense val="0"/>
        <extend val="0"/>
        <outline val="0"/>
        <shadow val="0"/>
        <vertAlign val="baseline"/>
        <sz val="11"/>
        <color theme="1"/>
        <name val="Calibri"/>
        <family val="2"/>
        <scheme val="minor"/>
      </font>
      <fill>
        <patternFill>
          <fgColor indexed="64"/>
          <bgColor auto="1"/>
        </patternFill>
      </fill>
    </dxf>
    <dxf>
      <font>
        <b val="0"/>
        <i val="0"/>
        <strike val="0"/>
        <condense val="0"/>
        <extend val="0"/>
        <outline val="0"/>
        <shadow val="0"/>
        <u val="none"/>
        <vertAlign val="baseline"/>
        <sz val="10"/>
        <color auto="1"/>
        <name val="Arial"/>
        <family val="2"/>
        <scheme val="none"/>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ptos Narrow"/>
        <family val="2"/>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auto="1"/>
        <name val="Aptos Narrow"/>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font>
        <b/>
        <i val="0"/>
        <strike val="0"/>
        <condense val="0"/>
        <extend val="0"/>
        <outline val="0"/>
        <shadow val="0"/>
        <u val="none"/>
        <vertAlign val="baseline"/>
        <sz val="11"/>
        <color rgb="FF0070C0"/>
        <name val="Aptos Narrow"/>
        <family val="2"/>
        <scheme val="none"/>
      </font>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rgb="FF0070C0"/>
        <name val="Aptos Narrow"/>
        <family val="2"/>
        <scheme val="none"/>
      </font>
      <numFmt numFmtId="2" formatCode="0.0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ptos Narrow"/>
        <family val="2"/>
        <scheme val="none"/>
      </font>
      <alignment horizontal="center" vertical="bottom" textRotation="0" wrapText="1" indent="0" justifyLastLine="0" shrinkToFit="0" readingOrder="0"/>
      <border diagonalUp="0" diagonalDown="0">
        <left style="thin">
          <color indexed="64"/>
        </left>
        <right style="thin">
          <color indexed="64"/>
        </right>
        <top style="thin">
          <color indexed="64"/>
        </top>
        <bottom/>
        <vertical/>
        <horizontal/>
      </border>
    </dxf>
    <dxf>
      <border outline="0">
        <right style="thin">
          <color indexed="64"/>
        </right>
        <top style="thin">
          <color indexed="64"/>
        </top>
        <bottom style="thin">
          <color indexed="64"/>
        </bottom>
      </border>
    </dxf>
    <dxf>
      <fill>
        <patternFill>
          <fgColor indexed="64"/>
          <bgColor indexed="65"/>
        </patternFill>
      </fill>
      <alignment horizontal="general" vertical="bottom" wrapText="1"/>
    </dxf>
    <dxf>
      <fill>
        <patternFill>
          <bgColor auto="1"/>
        </patternFill>
      </fill>
      <alignment horizontal="general" vertical="bottom" wrapText="1"/>
      <border>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fill>
        <patternFill>
          <fgColor indexed="64"/>
          <bgColor indexed="65"/>
        </patternFill>
      </fill>
      <border outline="0">
        <left style="thin">
          <color indexed="64"/>
        </left>
        <right style="thin">
          <color indexed="64"/>
        </right>
        <top/>
        <bottom/>
      </border>
    </dxf>
    <dxf>
      <font>
        <strike val="0"/>
        <condense val="0"/>
        <extend val="0"/>
        <outline val="0"/>
        <shadow val="0"/>
        <vertAlign val="baseline"/>
        <sz val="11"/>
        <color auto="1"/>
        <name val="Aptos Narrow"/>
        <family val="2"/>
      </font>
      <numFmt numFmtId="0" formatCode="General"/>
      <fill>
        <patternFill>
          <fgColor indexed="64"/>
          <bgColor indexed="65"/>
        </patternFill>
      </fill>
      <alignment horizontal="center" vertical="center" wrapText="1"/>
      <border>
        <left style="thin">
          <color indexed="64"/>
        </left>
        <right style="thin">
          <color indexed="64"/>
        </right>
        <top style="thin">
          <color indexed="64"/>
        </top>
        <bottom style="thin">
          <color indexed="64"/>
        </bottom>
        <vertical/>
        <horizontal/>
      </border>
    </dxf>
    <dxf>
      <fill>
        <patternFill>
          <fgColor indexed="64"/>
          <bgColor indexed="65"/>
        </patternFill>
      </fill>
    </dxf>
    <dxf>
      <numFmt numFmtId="0" formatCode="General"/>
      <fill>
        <patternFill>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indexed="65"/>
        </patternFill>
      </fill>
    </dxf>
    <dxf>
      <numFmt numFmtId="2" formatCode="0.00"/>
      <fill>
        <patternFill>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indexed="65"/>
        </patternFill>
      </fill>
    </dxf>
    <dxf>
      <fill>
        <patternFill>
          <bgColor auto="1"/>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indexed="65"/>
        </patternFill>
      </fill>
    </dxf>
    <dxf>
      <fill>
        <patternFill>
          <bgColor auto="1"/>
        </patternFill>
      </fill>
      <border>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fill>
        <patternFill>
          <bgColor auto="1"/>
        </patternFill>
      </fill>
    </dxf>
    <dxf>
      <border>
        <bottom style="thin">
          <color indexed="64"/>
        </bottom>
      </border>
    </dxf>
    <dxf>
      <font>
        <strike val="0"/>
        <outline val="0"/>
        <shadow val="0"/>
        <vertAlign val="baseline"/>
        <color theme="0"/>
        <name val="Calibri"/>
        <family val="2"/>
        <scheme val="minor"/>
      </font>
      <fill>
        <patternFill>
          <fgColor indexed="64"/>
          <bgColor auto="1"/>
        </patternFill>
      </fill>
      <alignment vertical="center"/>
      <border outline="0">
        <left style="thin">
          <color indexed="64"/>
        </left>
        <right style="thin">
          <color indexed="64"/>
        </right>
        <top/>
        <bottom/>
      </border>
    </dxf>
    <dxf>
      <fill>
        <patternFill>
          <fgColor indexed="64"/>
          <bgColor auto="1"/>
        </patternFill>
      </fill>
      <border outline="0">
        <left style="thin">
          <color indexed="64"/>
        </left>
        <right/>
        <top style="thin">
          <color indexed="64"/>
        </top>
        <bottom style="thin">
          <color indexed="64"/>
        </bottom>
      </border>
    </dxf>
    <dxf>
      <fill>
        <patternFill>
          <fgColor indexed="64"/>
          <bgColor auto="1"/>
        </patternFill>
      </fill>
      <border outline="0">
        <left style="thin">
          <color indexed="64"/>
        </left>
        <right/>
        <top style="thin">
          <color indexed="64"/>
        </top>
        <bottom style="thin">
          <color indexed="64"/>
        </bottom>
      </border>
    </dxf>
    <dxf>
      <font>
        <strike val="0"/>
        <condense val="0"/>
        <extend val="0"/>
        <outline val="0"/>
        <shadow val="0"/>
        <vertAlign val="baseline"/>
        <sz val="11"/>
        <color auto="1"/>
        <name val="Aptos Narrow"/>
        <family val="2"/>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border>
      <protection locked="0" hidden="0"/>
    </dxf>
    <dxf>
      <font>
        <strike val="0"/>
        <condense val="0"/>
        <extend val="0"/>
        <outline val="0"/>
        <shadow val="0"/>
        <vertAlign val="baseline"/>
        <sz val="11"/>
        <color auto="1"/>
        <name val="Aptos Narrow"/>
        <family val="2"/>
      </font>
      <numFmt numFmtId="2" formatCode="0.00"/>
      <fill>
        <patternFill>
          <fgColor indexed="64"/>
          <bgColor auto="1"/>
        </patternFill>
      </fill>
      <alignment horizontal="right" vertical="bottom"/>
      <border>
        <left style="thin">
          <color indexed="64"/>
        </left>
        <right style="thin">
          <color indexed="64"/>
        </right>
        <top style="thin">
          <color indexed="64"/>
        </top>
        <bottom style="thin">
          <color indexed="64"/>
        </bottom>
      </border>
    </dxf>
    <dxf>
      <fill>
        <patternFill>
          <fgColor indexed="64"/>
          <bgColor auto="1"/>
        </patternFill>
      </fill>
    </dxf>
    <dxf>
      <font>
        <strike val="0"/>
        <condense val="0"/>
        <extend val="0"/>
        <outline val="0"/>
        <shadow val="0"/>
        <vertAlign val="baseline"/>
        <sz val="11"/>
        <color auto="1"/>
        <name val="Aptos Narrow"/>
        <family val="2"/>
      </font>
      <numFmt numFmtId="0" formatCode="General"/>
      <fill>
        <patternFill>
          <fgColor indexed="64"/>
          <bgColor auto="1"/>
        </patternFill>
      </fill>
      <alignment horizontal="center" vertical="bottom" wrapText="1"/>
      <border>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fgColor indexed="64"/>
          <bgColor auto="1"/>
        </patternFill>
      </fill>
    </dxf>
    <dxf>
      <border outline="0">
        <bottom style="thin">
          <color indexed="64"/>
        </bottom>
      </border>
    </dxf>
    <dxf>
      <numFmt numFmtId="0" formatCode="General"/>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11"/>
        <color auto="1"/>
        <name val="Arial"/>
        <family val="2"/>
      </font>
      <numFmt numFmtId="0" formatCode="General"/>
      <alignment horizontal="general"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thin">
          <color indexed="64"/>
        </left>
        <right style="thin">
          <color indexed="64"/>
        </right>
        <top style="thin">
          <color indexed="64"/>
        </top>
        <bottom style="thin">
          <color indexed="64"/>
        </bottom>
      </border>
    </dxf>
    <dxf>
      <fill>
        <patternFill>
          <fgColor indexed="64"/>
          <bgColor indexed="65"/>
        </patternFill>
      </fill>
      <alignment horizontal="general"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auto="1"/>
        <name val="Aptos Narrow"/>
        <family val="2"/>
      </font>
      <numFmt numFmtId="0" formatCode="General"/>
      <fill>
        <patternFill>
          <fgColor indexed="64"/>
          <bgColor indexed="65"/>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condense val="0"/>
        <extend val="0"/>
        <outline val="0"/>
        <shadow val="0"/>
        <vertAlign val="baseline"/>
        <sz val="11"/>
        <color auto="1"/>
        <name val="Aptos Narrow"/>
        <family val="2"/>
      </font>
      <numFmt numFmtId="0" formatCode="General"/>
      <fill>
        <patternFill>
          <fgColor indexed="64"/>
          <bgColor indexed="65"/>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condense val="0"/>
        <extend val="0"/>
        <outline val="0"/>
        <shadow val="0"/>
        <vertAlign val="baseline"/>
        <sz val="11"/>
        <color rgb="FF0070C0"/>
        <name val="Aptos Narrow"/>
        <family val="2"/>
      </font>
      <fill>
        <patternFill>
          <fgColor indexed="64"/>
          <bgColor indexed="65"/>
        </patternFill>
      </fill>
      <alignment horizontal="right"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11"/>
        <color rgb="FF0070C0"/>
        <name val="Aptos Narrow"/>
        <family val="2"/>
      </font>
      <numFmt numFmtId="2" formatCode="0.00"/>
      <fill>
        <patternFill>
          <fgColor indexed="64"/>
          <bgColor indexed="65"/>
        </patternFill>
      </fill>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condense val="0"/>
        <extend val="0"/>
        <outline val="0"/>
        <shadow val="0"/>
        <vertAlign val="baseline"/>
        <sz val="11"/>
        <color auto="1"/>
        <name val="Aptos Narrow"/>
        <family val="2"/>
      </font>
      <numFmt numFmtId="0" formatCode="General"/>
      <fill>
        <patternFill>
          <fgColor indexed="64"/>
          <bgColor indexed="65"/>
        </patternFill>
      </fill>
      <alignment horizontal="center" vertical="bottom"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right style="thin">
          <color indexed="64"/>
        </right>
        <top style="thin">
          <color indexed="64"/>
        </top>
      </border>
    </dxf>
    <dxf>
      <font>
        <strike val="0"/>
        <outline val="0"/>
        <shadow val="0"/>
        <vertAlign val="baseline"/>
        <sz val="10"/>
        <color theme="0"/>
        <name val="Arial"/>
        <family val="2"/>
      </font>
      <fill>
        <patternFill>
          <fgColor indexed="64"/>
          <bgColor auto="1"/>
        </patternFill>
      </fill>
    </dxf>
  </dxfs>
  <tableStyles count="1" defaultTableStyle="TableStyleMedium2" defaultPivotStyle="PivotStyleLight16">
    <tableStyle name="Invisible" pivot="0" table="0" count="0" xr9:uid="{00000000-0011-0000-FFFF-FFFF00000000}"/>
  </tableStyles>
  <colors>
    <mruColors>
      <color rgb="FFF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pPr>
              <a:defRPr/>
            </a:pPr>
            <a:r>
              <a:rPr lang="fr-FR"/>
              <a:t>Modèle</a:t>
            </a:r>
            <a:r>
              <a:rPr lang="fr-FR" baseline="0"/>
              <a:t> </a:t>
            </a:r>
            <a:endParaRPr lang="fr-FR"/>
          </a:p>
        </c:rich>
      </c:tx>
      <c:overlay val="0"/>
    </c:title>
    <c:autoTitleDeleted val="0"/>
    <c:plotArea>
      <c:layout>
        <c:manualLayout>
          <c:xMode val="edge"/>
          <c:yMode val="edge"/>
          <c:x val="4.919430775946592E-2"/>
          <c:y val="0.17654347055537487"/>
          <c:w val="0.90705370672139651"/>
          <c:h val="0.67107185710629158"/>
        </c:manualLayout>
      </c:layout>
      <c:scatterChart>
        <c:scatterStyle val="lineMarker"/>
        <c:varyColors val="0"/>
        <c:ser>
          <c:idx val="0"/>
          <c:order val="0"/>
          <c:tx>
            <c:v>Contour_externe (×1000)</c:v>
          </c:tx>
          <c:spPr>
            <a:ln w="25400">
              <a:solidFill>
                <a:srgbClr val="000000"/>
              </a:solidFill>
            </a:ln>
          </c:spPr>
          <c:marker>
            <c:symbol val="none"/>
          </c:marker>
          <c:xVal>
            <c:numLit>
              <c:formatCode>General</c:formatCode>
              <c:ptCount val="5"/>
              <c:pt idx="0">
                <c:v>0</c:v>
              </c:pt>
              <c:pt idx="1">
                <c:v>6</c:v>
              </c:pt>
              <c:pt idx="2">
                <c:v>6</c:v>
              </c:pt>
              <c:pt idx="3">
                <c:v>0</c:v>
              </c:pt>
              <c:pt idx="4">
                <c:v>0</c:v>
              </c:pt>
            </c:numLit>
          </c:xVal>
          <c:yVal>
            <c:numLit>
              <c:formatCode>General</c:formatCode>
              <c:ptCount val="5"/>
              <c:pt idx="0">
                <c:v>0</c:v>
              </c:pt>
              <c:pt idx="1">
                <c:v>0</c:v>
              </c:pt>
              <c:pt idx="2">
                <c:v>1</c:v>
              </c:pt>
              <c:pt idx="3">
                <c:v>1</c:v>
              </c:pt>
              <c:pt idx="4">
                <c:v>0</c:v>
              </c:pt>
            </c:numLit>
          </c:yVal>
          <c:smooth val="0"/>
          <c:extLst>
            <c:ext xmlns:c16="http://schemas.microsoft.com/office/drawing/2014/chart" uri="{C3380CC4-5D6E-409C-BE32-E72D297353CC}">
              <c16:uniqueId val="{00000006-02AB-4988-BE59-4C75C100313F}"/>
            </c:ext>
          </c:extLst>
        </c:ser>
        <c:ser>
          <c:idx val="1"/>
          <c:order val="1"/>
          <c:tx>
            <c:v>Supports </c:v>
          </c:tx>
          <c:spPr>
            <a:ln w="28575">
              <a:noFill/>
            </a:ln>
          </c:spPr>
          <c:marker>
            <c:symbol val="circle"/>
            <c:size val="5"/>
            <c:spPr>
              <a:solidFill>
                <a:srgbClr val="1560BD"/>
              </a:solidFill>
              <a:ln>
                <a:solidFill>
                  <a:srgbClr val="1560BD"/>
                </a:solidFill>
                <a:prstDash val="solid"/>
              </a:ln>
            </c:spPr>
          </c:marker>
          <c:xVal>
            <c:numLit>
              <c:formatCode>General</c:formatCode>
              <c:ptCount val="2"/>
              <c:pt idx="0">
                <c:v>2.4</c:v>
              </c:pt>
              <c:pt idx="1">
                <c:v>3.6</c:v>
              </c:pt>
            </c:numLit>
          </c:xVal>
          <c:yVal>
            <c:numLit>
              <c:formatCode>General</c:formatCode>
              <c:ptCount val="2"/>
              <c:pt idx="0">
                <c:v>1</c:v>
              </c:pt>
              <c:pt idx="1">
                <c:v>1</c:v>
              </c:pt>
            </c:numLit>
          </c:yVal>
          <c:smooth val="0"/>
          <c:extLst>
            <c:ext xmlns:c16="http://schemas.microsoft.com/office/drawing/2014/chart" uri="{C3380CC4-5D6E-409C-BE32-E72D297353CC}">
              <c16:uniqueId val="{00000007-02AB-4988-BE59-4C75C100313F}"/>
            </c:ext>
          </c:extLst>
        </c:ser>
        <c:ser>
          <c:idx val="2"/>
          <c:order val="2"/>
          <c:tx>
            <c:v>Pieux (×1000)</c:v>
          </c:tx>
          <c:spPr>
            <a:ln w="28575">
              <a:noFill/>
            </a:ln>
          </c:spPr>
          <c:marker>
            <c:symbol val="circle"/>
            <c:size val="5"/>
            <c:spPr>
              <a:solidFill>
                <a:srgbClr val="1560BD"/>
              </a:solidFill>
              <a:ln>
                <a:solidFill>
                  <a:srgbClr val="1560BD"/>
                </a:solidFill>
                <a:prstDash val="solid"/>
              </a:ln>
            </c:spPr>
          </c:marker>
          <c:xVal>
            <c:numLit>
              <c:formatCode>General</c:formatCode>
              <c:ptCount val="2"/>
              <c:pt idx="0">
                <c:v>1</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8-02AB-4988-BE59-4C75C100313F}"/>
            </c:ext>
          </c:extLst>
        </c:ser>
        <c:dLbls>
          <c:showLegendKey val="0"/>
          <c:showVal val="0"/>
          <c:showCatName val="0"/>
          <c:showSerName val="0"/>
          <c:showPercent val="0"/>
          <c:showBubbleSize val="0"/>
        </c:dLbls>
        <c:axId val="1371821728"/>
        <c:axId val="1544626752"/>
      </c:scatterChart>
      <c:valAx>
        <c:axId val="1371821728"/>
        <c:scaling>
          <c:orientation val="minMax"/>
          <c:max val="6.06"/>
          <c:min val="-0.06"/>
        </c:scaling>
        <c:delete val="0"/>
        <c:axPos val="b"/>
        <c:title>
          <c:tx>
            <c:rich>
              <a:bodyPr rot="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fr-FR"/>
                  <a:t>x (m)</a:t>
                </a:r>
              </a:p>
            </c:rich>
          </c:tx>
          <c:overlay val="0"/>
          <c:spPr>
            <a:noFill/>
            <a:ln>
              <a:noFill/>
              <a:prstDash val="solid"/>
            </a:ln>
          </c:spPr>
        </c:title>
        <c:numFmt formatCode="General" sourceLinked="1"/>
        <c:majorTickMark val="out"/>
        <c:minorTickMark val="none"/>
        <c:tickLblPos val="low"/>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544626752"/>
        <c:crossesAt val="-0.01"/>
        <c:crossBetween val="midCat"/>
      </c:valAx>
      <c:valAx>
        <c:axId val="1544626752"/>
        <c:scaling>
          <c:orientation val="minMax"/>
          <c:max val="1.01"/>
          <c:min val="-0.01"/>
        </c:scaling>
        <c:delete val="0"/>
        <c:axPos val="l"/>
        <c:title>
          <c:tx>
            <c:rich>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fr-FR"/>
                  <a:t>z (m)</a:t>
                </a:r>
              </a:p>
            </c:rich>
          </c:tx>
          <c:overlay val="0"/>
          <c:spPr>
            <a:noFill/>
            <a:ln>
              <a:noFill/>
              <a:prstDash val="solid"/>
            </a:ln>
          </c:spPr>
        </c:title>
        <c:numFmt formatCode="General" sourceLinked="1"/>
        <c:majorTickMark val="out"/>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71821728"/>
        <c:crossesAt val="-0.06"/>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pPr>
              <a:defRPr/>
            </a:pPr>
            <a:r>
              <a:rPr lang="fr-FR"/>
              <a:t>Modèle avec les armatures</a:t>
            </a:r>
          </a:p>
        </c:rich>
      </c:tx>
      <c:overlay val="0"/>
    </c:title>
    <c:autoTitleDeleted val="0"/>
    <c:plotArea>
      <c:layout>
        <c:manualLayout>
          <c:xMode val="edge"/>
          <c:yMode val="edge"/>
          <c:x val="5.0396444902066934E-2"/>
          <c:y val="0.1763729355860707"/>
          <c:w val="0.90307744209053997"/>
          <c:h val="0.66433692897289176"/>
        </c:manualLayout>
      </c:layout>
      <c:scatterChart>
        <c:scatterStyle val="lineMarker"/>
        <c:varyColors val="0"/>
        <c:ser>
          <c:idx val="0"/>
          <c:order val="0"/>
          <c:tx>
            <c:v>Contour_externe (×1000)</c:v>
          </c:tx>
          <c:spPr>
            <a:ln w="25400">
              <a:solidFill>
                <a:srgbClr val="000000"/>
              </a:solidFill>
            </a:ln>
          </c:spPr>
          <c:marker>
            <c:symbol val="none"/>
          </c:marker>
          <c:xVal>
            <c:numLit>
              <c:formatCode>General</c:formatCode>
              <c:ptCount val="5"/>
              <c:pt idx="0">
                <c:v>0</c:v>
              </c:pt>
              <c:pt idx="1">
                <c:v>6</c:v>
              </c:pt>
              <c:pt idx="2">
                <c:v>6</c:v>
              </c:pt>
              <c:pt idx="3">
                <c:v>0</c:v>
              </c:pt>
              <c:pt idx="4">
                <c:v>0</c:v>
              </c:pt>
            </c:numLit>
          </c:xVal>
          <c:yVal>
            <c:numLit>
              <c:formatCode>General</c:formatCode>
              <c:ptCount val="5"/>
              <c:pt idx="0">
                <c:v>0</c:v>
              </c:pt>
              <c:pt idx="1">
                <c:v>0</c:v>
              </c:pt>
              <c:pt idx="2">
                <c:v>1</c:v>
              </c:pt>
              <c:pt idx="3">
                <c:v>1</c:v>
              </c:pt>
              <c:pt idx="4">
                <c:v>0</c:v>
              </c:pt>
            </c:numLit>
          </c:yVal>
          <c:smooth val="0"/>
          <c:extLst>
            <c:ext xmlns:c16="http://schemas.microsoft.com/office/drawing/2014/chart" uri="{C3380CC4-5D6E-409C-BE32-E72D297353CC}">
              <c16:uniqueId val="{00000129-A13C-488F-973C-6513779A898D}"/>
            </c:ext>
          </c:extLst>
        </c:ser>
        <c:ser>
          <c:idx val="1"/>
          <c:order val="1"/>
          <c:tx>
            <c:v>Supports (×1000)</c:v>
          </c:tx>
          <c:spPr>
            <a:ln w="28575">
              <a:noFill/>
            </a:ln>
          </c:spPr>
          <c:marker>
            <c:symbol val="circle"/>
            <c:size val="7"/>
            <c:spPr>
              <a:solidFill>
                <a:srgbClr val="1560BD"/>
              </a:solidFill>
              <a:ln>
                <a:solidFill>
                  <a:srgbClr val="1560BD"/>
                </a:solidFill>
                <a:prstDash val="solid"/>
              </a:ln>
            </c:spPr>
          </c:marker>
          <c:xVal>
            <c:numLit>
              <c:formatCode>General</c:formatCode>
              <c:ptCount val="2"/>
              <c:pt idx="0">
                <c:v>2.4</c:v>
              </c:pt>
              <c:pt idx="1">
                <c:v>3.6</c:v>
              </c:pt>
            </c:numLit>
          </c:xVal>
          <c:yVal>
            <c:numLit>
              <c:formatCode>General</c:formatCode>
              <c:ptCount val="2"/>
              <c:pt idx="0">
                <c:v>1</c:v>
              </c:pt>
              <c:pt idx="1">
                <c:v>1</c:v>
              </c:pt>
            </c:numLit>
          </c:yVal>
          <c:smooth val="0"/>
          <c:extLst>
            <c:ext xmlns:c16="http://schemas.microsoft.com/office/drawing/2014/chart" uri="{C3380CC4-5D6E-409C-BE32-E72D297353CC}">
              <c16:uniqueId val="{0000012A-A13C-488F-973C-6513779A898D}"/>
            </c:ext>
          </c:extLst>
        </c:ser>
        <c:ser>
          <c:idx val="2"/>
          <c:order val="2"/>
          <c:tx>
            <c:v>Pieux (×1000)</c:v>
          </c:tx>
          <c:spPr>
            <a:ln w="28575">
              <a:noFill/>
            </a:ln>
          </c:spPr>
          <c:marker>
            <c:symbol val="circle"/>
            <c:size val="7"/>
            <c:spPr>
              <a:solidFill>
                <a:srgbClr val="1560BD"/>
              </a:solidFill>
              <a:ln>
                <a:solidFill>
                  <a:srgbClr val="1560BD"/>
                </a:solidFill>
                <a:prstDash val="solid"/>
              </a:ln>
            </c:spPr>
          </c:marker>
          <c:xVal>
            <c:numLit>
              <c:formatCode>General</c:formatCode>
              <c:ptCount val="2"/>
              <c:pt idx="0">
                <c:v>1</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12B-A13C-488F-973C-6513779A898D}"/>
            </c:ext>
          </c:extLst>
        </c:ser>
        <c:ser>
          <c:idx val="3"/>
          <c:order val="3"/>
          <c:spPr>
            <a:ln>
              <a:solidFill>
                <a:srgbClr val="F06464"/>
              </a:solidFill>
            </a:ln>
          </c:spPr>
          <c:marker>
            <c:symbol val="none"/>
          </c:marker>
          <c:xVal>
            <c:numLit>
              <c:formatCode>General</c:formatCode>
              <c:ptCount val="2"/>
              <c:pt idx="0">
                <c:v>1</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12C-A13C-488F-973C-6513779A898D}"/>
            </c:ext>
          </c:extLst>
        </c:ser>
        <c:ser>
          <c:idx val="4"/>
          <c:order val="4"/>
          <c:spPr>
            <a:ln>
              <a:solidFill>
                <a:srgbClr val="F06464"/>
              </a:solidFill>
            </a:ln>
          </c:spPr>
          <c:marker>
            <c:symbol val="none"/>
          </c:marker>
          <c:xVal>
            <c:numLit>
              <c:formatCode>General</c:formatCode>
              <c:ptCount val="2"/>
              <c:pt idx="0">
                <c:v>2.4</c:v>
              </c:pt>
              <c:pt idx="1">
                <c:v>2.4</c:v>
              </c:pt>
            </c:numLit>
          </c:xVal>
          <c:yVal>
            <c:numLit>
              <c:formatCode>General</c:formatCode>
              <c:ptCount val="2"/>
              <c:pt idx="0">
                <c:v>0</c:v>
              </c:pt>
              <c:pt idx="1">
                <c:v>1</c:v>
              </c:pt>
            </c:numLit>
          </c:yVal>
          <c:smooth val="0"/>
          <c:extLst>
            <c:ext xmlns:c16="http://schemas.microsoft.com/office/drawing/2014/chart" uri="{C3380CC4-5D6E-409C-BE32-E72D297353CC}">
              <c16:uniqueId val="{0000012D-A13C-488F-973C-6513779A898D}"/>
            </c:ext>
          </c:extLst>
        </c:ser>
        <c:ser>
          <c:idx val="5"/>
          <c:order val="5"/>
          <c:spPr>
            <a:ln>
              <a:solidFill>
                <a:srgbClr val="F06464"/>
              </a:solidFill>
            </a:ln>
          </c:spPr>
          <c:marker>
            <c:symbol val="none"/>
          </c:marker>
          <c:xVal>
            <c:numLit>
              <c:formatCode>General</c:formatCode>
              <c:ptCount val="2"/>
              <c:pt idx="0">
                <c:v>3.6</c:v>
              </c:pt>
              <c:pt idx="1">
                <c:v>3.6</c:v>
              </c:pt>
            </c:numLit>
          </c:xVal>
          <c:yVal>
            <c:numLit>
              <c:formatCode>General</c:formatCode>
              <c:ptCount val="2"/>
              <c:pt idx="0">
                <c:v>0</c:v>
              </c:pt>
              <c:pt idx="1">
                <c:v>1</c:v>
              </c:pt>
            </c:numLit>
          </c:yVal>
          <c:smooth val="0"/>
          <c:extLst>
            <c:ext xmlns:c16="http://schemas.microsoft.com/office/drawing/2014/chart" uri="{C3380CC4-5D6E-409C-BE32-E72D297353CC}">
              <c16:uniqueId val="{0000012E-A13C-488F-973C-6513779A898D}"/>
            </c:ext>
          </c:extLst>
        </c:ser>
        <c:ser>
          <c:idx val="6"/>
          <c:order val="6"/>
          <c:spPr>
            <a:ln>
              <a:solidFill>
                <a:srgbClr val="F06464"/>
              </a:solidFill>
            </a:ln>
          </c:spPr>
          <c:marker>
            <c:symbol val="none"/>
          </c:marker>
          <c:xVal>
            <c:numLit>
              <c:formatCode>General</c:formatCode>
              <c:ptCount val="2"/>
              <c:pt idx="0">
                <c:v>5</c:v>
              </c:pt>
              <c:pt idx="1">
                <c:v>5</c:v>
              </c:pt>
            </c:numLit>
          </c:xVal>
          <c:yVal>
            <c:numLit>
              <c:formatCode>General</c:formatCode>
              <c:ptCount val="2"/>
              <c:pt idx="0">
                <c:v>0</c:v>
              </c:pt>
              <c:pt idx="1">
                <c:v>1</c:v>
              </c:pt>
            </c:numLit>
          </c:yVal>
          <c:smooth val="0"/>
          <c:extLst>
            <c:ext xmlns:c16="http://schemas.microsoft.com/office/drawing/2014/chart" uri="{C3380CC4-5D6E-409C-BE32-E72D297353CC}">
              <c16:uniqueId val="{0000012F-A13C-488F-973C-6513779A898D}"/>
            </c:ext>
          </c:extLst>
        </c:ser>
        <c:ser>
          <c:idx val="7"/>
          <c:order val="7"/>
          <c:spPr>
            <a:ln>
              <a:solidFill>
                <a:srgbClr val="F06464"/>
              </a:solidFill>
            </a:ln>
          </c:spPr>
          <c:marker>
            <c:symbol val="none"/>
          </c:marker>
          <c:xVal>
            <c:numLit>
              <c:formatCode>General</c:formatCode>
              <c:ptCount val="2"/>
              <c:pt idx="0">
                <c:v>0</c:v>
              </c:pt>
              <c:pt idx="1">
                <c:v>6</c:v>
              </c:pt>
            </c:numLit>
          </c:xVal>
          <c:yVal>
            <c:numLit>
              <c:formatCode>General</c:formatCode>
              <c:ptCount val="2"/>
              <c:pt idx="0">
                <c:v>0.1</c:v>
              </c:pt>
              <c:pt idx="1">
                <c:v>0.1</c:v>
              </c:pt>
            </c:numLit>
          </c:yVal>
          <c:smooth val="0"/>
          <c:extLst>
            <c:ext xmlns:c16="http://schemas.microsoft.com/office/drawing/2014/chart" uri="{C3380CC4-5D6E-409C-BE32-E72D297353CC}">
              <c16:uniqueId val="{00000130-A13C-488F-973C-6513779A898D}"/>
            </c:ext>
          </c:extLst>
        </c:ser>
        <c:ser>
          <c:idx val="8"/>
          <c:order val="8"/>
          <c:spPr>
            <a:ln>
              <a:solidFill>
                <a:srgbClr val="F06464"/>
              </a:solidFill>
            </a:ln>
          </c:spPr>
          <c:marker>
            <c:symbol val="none"/>
          </c:marker>
          <c:xVal>
            <c:numLit>
              <c:formatCode>General</c:formatCode>
              <c:ptCount val="2"/>
              <c:pt idx="0">
                <c:v>0</c:v>
              </c:pt>
              <c:pt idx="1">
                <c:v>6</c:v>
              </c:pt>
            </c:numLit>
          </c:xVal>
          <c:yVal>
            <c:numLit>
              <c:formatCode>General</c:formatCode>
              <c:ptCount val="2"/>
              <c:pt idx="0">
                <c:v>0.9</c:v>
              </c:pt>
              <c:pt idx="1">
                <c:v>0.9</c:v>
              </c:pt>
            </c:numLit>
          </c:yVal>
          <c:smooth val="0"/>
          <c:extLst>
            <c:ext xmlns:c16="http://schemas.microsoft.com/office/drawing/2014/chart" uri="{C3380CC4-5D6E-409C-BE32-E72D297353CC}">
              <c16:uniqueId val="{00000131-A13C-488F-973C-6513779A898D}"/>
            </c:ext>
          </c:extLst>
        </c:ser>
        <c:dLbls>
          <c:showLegendKey val="0"/>
          <c:showVal val="0"/>
          <c:showCatName val="0"/>
          <c:showSerName val="0"/>
          <c:showPercent val="0"/>
          <c:showBubbleSize val="0"/>
        </c:dLbls>
        <c:axId val="1599022336"/>
        <c:axId val="1599019456"/>
      </c:scatterChart>
      <c:valAx>
        <c:axId val="1599022336"/>
        <c:scaling>
          <c:orientation val="minMax"/>
          <c:max val="6.06"/>
          <c:min val="-0.06"/>
        </c:scaling>
        <c:delete val="0"/>
        <c:axPos val="b"/>
        <c:title>
          <c:tx>
            <c:rich>
              <a:bodyPr/>
              <a:lstStyle/>
              <a:p>
                <a:pPr>
                  <a:defRPr/>
                </a:pPr>
                <a:r>
                  <a:rPr lang="en-US"/>
                  <a:t>X (mm)</a:t>
                </a:r>
              </a:p>
            </c:rich>
          </c:tx>
          <c:overlay val="0"/>
        </c:title>
        <c:numFmt formatCode="General" sourceLinked="1"/>
        <c:majorTickMark val="out"/>
        <c:minorTickMark val="out"/>
        <c:tickLblPos val="nextTo"/>
        <c:crossAx val="1599019456"/>
        <c:crossesAt val="-0.01"/>
        <c:crossBetween val="midCat"/>
      </c:valAx>
      <c:valAx>
        <c:axId val="1599019456"/>
        <c:scaling>
          <c:orientation val="minMax"/>
          <c:max val="1.01"/>
          <c:min val="-0.01"/>
        </c:scaling>
        <c:delete val="0"/>
        <c:axPos val="l"/>
        <c:title>
          <c:tx>
            <c:rich>
              <a:bodyPr/>
              <a:lstStyle/>
              <a:p>
                <a:pPr>
                  <a:defRPr/>
                </a:pPr>
                <a:r>
                  <a:rPr lang="en-US"/>
                  <a:t>Y (mm)</a:t>
                </a:r>
              </a:p>
            </c:rich>
          </c:tx>
          <c:overlay val="0"/>
        </c:title>
        <c:numFmt formatCode="General" sourceLinked="1"/>
        <c:majorTickMark val="out"/>
        <c:minorTickMark val="none"/>
        <c:tickLblPos val="nextTo"/>
        <c:crossAx val="1599022336"/>
        <c:crossesAt val="-0.06"/>
        <c:crossBetween val="midCat"/>
      </c:valAx>
      <c:spPr>
        <a:noFill/>
        <a:ln w="25400">
          <a:noFill/>
        </a:ln>
      </c:spPr>
    </c:plotArea>
    <c:plotVisOnly val="1"/>
    <c:dispBlanksAs val="gap"/>
    <c:showDLblsOverMax val="1"/>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file:///C:\Users\Arthur%20De%20Bigault\Desktop\Travail%20Arthur\G&#233;n&#233;ration%20mod&#232;le%20bielles-tirants\Images\Champ_des_efforts.png" TargetMode="External"/><Relationship Id="rId2" Type="http://schemas.openxmlformats.org/officeDocument/2006/relationships/image" Target="file:///C:\Users\Arthur%20De%20Bigault\Desktop\Travail%20Arthur\G&#233;n&#233;ration%20mod&#232;le%20bielles-tirants\Images\Forces_dans_les_cables.png" TargetMode="Externa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file:///C:\Users\Arthur%20De%20Bigault\Desktop\Travail%20Arthur\G&#233;n&#233;ration%20mod&#232;le%20bielles-tirants\Images\Mod&#232;le_bielles_tirants.png" TargetMode="External"/><Relationship Id="rId2" Type="http://schemas.openxmlformats.org/officeDocument/2006/relationships/image" Target="file:///C:\Users\Arthur%20De%20Bigault\Desktop\Travail%20Arthur\G&#233;n&#233;ration%20mod&#232;le%20bielles-tirants\Images\mod&#232;le_treillis.png" TargetMode="External"/><Relationship Id="rId1" Type="http://schemas.openxmlformats.org/officeDocument/2006/relationships/image" Target="file:///C:\Users\Arthur%20De%20Bigault\Desktop\Travail%20Arthur\G&#233;n&#233;ration%20mod&#232;le%20bielles-tirants\Images\mbt_lignes_de_courant.png" TargetMode="External"/></Relationships>
</file>

<file path=xl/drawings/drawing1.xml><?xml version="1.0" encoding="utf-8"?>
<xdr:wsDr xmlns:xdr="http://schemas.openxmlformats.org/drawingml/2006/spreadsheetDrawing" xmlns:a="http://schemas.openxmlformats.org/drawingml/2006/main">
  <xdr:twoCellAnchor>
    <xdr:from>
      <xdr:col>7</xdr:col>
      <xdr:colOff>536646</xdr:colOff>
      <xdr:row>7</xdr:row>
      <xdr:rowOff>41011</xdr:rowOff>
    </xdr:from>
    <xdr:to>
      <xdr:col>12</xdr:col>
      <xdr:colOff>1658056</xdr:colOff>
      <xdr:row>14</xdr:row>
      <xdr:rowOff>47361</xdr:rowOff>
    </xdr:to>
    <xdr:graphicFrame macro="">
      <xdr:nvGraphicFramePr>
        <xdr:cNvPr id="2" name="Graphique_model">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38147</xdr:colOff>
      <xdr:row>23</xdr:row>
      <xdr:rowOff>96596</xdr:rowOff>
    </xdr:from>
    <xdr:to>
      <xdr:col>20</xdr:col>
      <xdr:colOff>326437</xdr:colOff>
      <xdr:row>29</xdr:row>
      <xdr:rowOff>23571</xdr:rowOff>
    </xdr:to>
    <xdr:graphicFrame macro="">
      <xdr:nvGraphicFramePr>
        <xdr:cNvPr id="2" name="Graphique_tirants">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7</xdr:col>
          <xdr:colOff>259080</xdr:colOff>
          <xdr:row>9</xdr:row>
          <xdr:rowOff>160020</xdr:rowOff>
        </xdr:from>
        <xdr:to>
          <xdr:col>9</xdr:col>
          <xdr:colOff>388620</xdr:colOff>
          <xdr:row>12</xdr:row>
          <xdr:rowOff>441960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Mettre à jour tirants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9</xdr:row>
          <xdr:rowOff>152400</xdr:rowOff>
        </xdr:from>
        <xdr:to>
          <xdr:col>12</xdr:col>
          <xdr:colOff>480060</xdr:colOff>
          <xdr:row>12</xdr:row>
          <xdr:rowOff>457200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200-00002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Résultats Sofistik</a:t>
              </a:r>
            </a:p>
          </xdr:txBody>
        </xdr:sp>
        <xdr:clientData fPrintsWithSheet="0"/>
      </xdr:twoCellAnchor>
    </mc:Choice>
    <mc:Fallback/>
  </mc:AlternateContent>
  <xdr:twoCellAnchor editAs="oneCell">
    <xdr:from>
      <xdr:col>8</xdr:col>
      <xdr:colOff>7620</xdr:colOff>
      <xdr:row>31</xdr:row>
      <xdr:rowOff>38100</xdr:rowOff>
    </xdr:from>
    <xdr:to>
      <xdr:col>20</xdr:col>
      <xdr:colOff>20955</xdr:colOff>
      <xdr:row>38</xdr:row>
      <xdr:rowOff>143721</xdr:rowOff>
    </xdr:to>
    <xdr:pic>
      <xdr:nvPicPr>
        <xdr:cNvPr id="4" name="Image 3">
          <a:extLst>
            <a:ext uri="{FF2B5EF4-FFF2-40B4-BE49-F238E27FC236}">
              <a16:creationId xmlns:a16="http://schemas.microsoft.com/office/drawing/2014/main" id="{77044C2F-1896-EE4E-2A71-83C38E008D20}"/>
            </a:ext>
          </a:extLst>
        </xdr:cNvPr>
        <xdr:cNvPicPr>
          <a:picLocks noChangeAspect="1"/>
        </xdr:cNvPicPr>
      </xdr:nvPicPr>
      <xdr:blipFill>
        <a:blip xmlns:r="http://schemas.openxmlformats.org/officeDocument/2006/relationships" r:link="rId2"/>
        <a:stretch>
          <a:fillRect/>
        </a:stretch>
      </xdr:blipFill>
      <xdr:spPr>
        <a:xfrm>
          <a:off x="9732645" y="8039100"/>
          <a:ext cx="9500235" cy="2772621"/>
        </a:xfrm>
        <a:prstGeom prst="rect">
          <a:avLst/>
        </a:prstGeom>
      </xdr:spPr>
    </xdr:pic>
    <xdr:clientData/>
  </xdr:twoCellAnchor>
  <xdr:twoCellAnchor editAs="oneCell">
    <xdr:from>
      <xdr:col>8</xdr:col>
      <xdr:colOff>7620</xdr:colOff>
      <xdr:row>38</xdr:row>
      <xdr:rowOff>141816</xdr:rowOff>
    </xdr:from>
    <xdr:to>
      <xdr:col>20</xdr:col>
      <xdr:colOff>20955</xdr:colOff>
      <xdr:row>46</xdr:row>
      <xdr:rowOff>82925</xdr:rowOff>
    </xdr:to>
    <xdr:pic>
      <xdr:nvPicPr>
        <xdr:cNvPr id="6" name="Image 5">
          <a:extLst>
            <a:ext uri="{FF2B5EF4-FFF2-40B4-BE49-F238E27FC236}">
              <a16:creationId xmlns:a16="http://schemas.microsoft.com/office/drawing/2014/main" id="{02264F98-78AC-A516-B230-4CB0921C42FF}"/>
            </a:ext>
          </a:extLst>
        </xdr:cNvPr>
        <xdr:cNvPicPr>
          <a:picLocks noChangeAspect="1"/>
        </xdr:cNvPicPr>
      </xdr:nvPicPr>
      <xdr:blipFill>
        <a:blip xmlns:r="http://schemas.openxmlformats.org/officeDocument/2006/relationships" r:link="rId3"/>
        <a:stretch>
          <a:fillRect/>
        </a:stretch>
      </xdr:blipFill>
      <xdr:spPr>
        <a:xfrm>
          <a:off x="9732645" y="10809816"/>
          <a:ext cx="9500235" cy="29891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777240</xdr:colOff>
          <xdr:row>2</xdr:row>
          <xdr:rowOff>160020</xdr:rowOff>
        </xdr:from>
        <xdr:to>
          <xdr:col>11</xdr:col>
          <xdr:colOff>121920</xdr:colOff>
          <xdr:row>7</xdr:row>
          <xdr:rowOff>83820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Déterminer le modèle bielles - tirants</a:t>
              </a:r>
            </a:p>
          </xdr:txBody>
        </xdr:sp>
        <xdr:clientData fPrintsWithSheet="0"/>
      </xdr:twoCellAnchor>
    </mc:Choice>
    <mc:Fallback/>
  </mc:AlternateContent>
  <xdr:twoCellAnchor editAs="oneCell">
    <xdr:from>
      <xdr:col>8</xdr:col>
      <xdr:colOff>7620</xdr:colOff>
      <xdr:row>11</xdr:row>
      <xdr:rowOff>13335</xdr:rowOff>
    </xdr:from>
    <xdr:to>
      <xdr:col>17</xdr:col>
      <xdr:colOff>15240</xdr:colOff>
      <xdr:row>18</xdr:row>
      <xdr:rowOff>40140</xdr:rowOff>
    </xdr:to>
    <xdr:pic>
      <xdr:nvPicPr>
        <xdr:cNvPr id="6292" name="Image 6291">
          <a:extLst>
            <a:ext uri="{FF2B5EF4-FFF2-40B4-BE49-F238E27FC236}">
              <a16:creationId xmlns:a16="http://schemas.microsoft.com/office/drawing/2014/main" id="{1F49EFBF-DB78-6F39-A63E-524D4F1ED96C}"/>
            </a:ext>
          </a:extLst>
        </xdr:cNvPr>
        <xdr:cNvPicPr>
          <a:picLocks noChangeAspect="1"/>
        </xdr:cNvPicPr>
      </xdr:nvPicPr>
      <xdr:blipFill>
        <a:blip xmlns:r="http://schemas.openxmlformats.org/officeDocument/2006/relationships" r:link="rId1"/>
        <a:stretch>
          <a:fillRect/>
        </a:stretch>
      </xdr:blipFill>
      <xdr:spPr>
        <a:xfrm>
          <a:off x="8589645" y="2385060"/>
          <a:ext cx="7189470" cy="2293755"/>
        </a:xfrm>
        <a:prstGeom prst="rect">
          <a:avLst/>
        </a:prstGeom>
      </xdr:spPr>
    </xdr:pic>
    <xdr:clientData/>
  </xdr:twoCellAnchor>
  <xdr:twoCellAnchor editAs="oneCell">
    <xdr:from>
      <xdr:col>8</xdr:col>
      <xdr:colOff>7620</xdr:colOff>
      <xdr:row>18</xdr:row>
      <xdr:rowOff>40140</xdr:rowOff>
    </xdr:from>
    <xdr:to>
      <xdr:col>17</xdr:col>
      <xdr:colOff>20955</xdr:colOff>
      <xdr:row>25</xdr:row>
      <xdr:rowOff>57478</xdr:rowOff>
    </xdr:to>
    <xdr:pic>
      <xdr:nvPicPr>
        <xdr:cNvPr id="6294" name="Image 6293">
          <a:extLst>
            <a:ext uri="{FF2B5EF4-FFF2-40B4-BE49-F238E27FC236}">
              <a16:creationId xmlns:a16="http://schemas.microsoft.com/office/drawing/2014/main" id="{4D65CFCA-3CFD-3CC5-33AC-420C645152BC}"/>
            </a:ext>
          </a:extLst>
        </xdr:cNvPr>
        <xdr:cNvPicPr>
          <a:picLocks noChangeAspect="1"/>
        </xdr:cNvPicPr>
      </xdr:nvPicPr>
      <xdr:blipFill>
        <a:blip xmlns:r="http://schemas.openxmlformats.org/officeDocument/2006/relationships" r:link="rId2"/>
        <a:stretch>
          <a:fillRect/>
        </a:stretch>
      </xdr:blipFill>
      <xdr:spPr>
        <a:xfrm>
          <a:off x="8589645" y="4678815"/>
          <a:ext cx="7195185" cy="2209993"/>
        </a:xfrm>
        <a:prstGeom prst="rect">
          <a:avLst/>
        </a:prstGeom>
      </xdr:spPr>
    </xdr:pic>
    <xdr:clientData/>
  </xdr:twoCellAnchor>
  <xdr:twoCellAnchor editAs="oneCell">
    <xdr:from>
      <xdr:col>8</xdr:col>
      <xdr:colOff>7620</xdr:colOff>
      <xdr:row>25</xdr:row>
      <xdr:rowOff>53668</xdr:rowOff>
    </xdr:from>
    <xdr:to>
      <xdr:col>17</xdr:col>
      <xdr:colOff>20955</xdr:colOff>
      <xdr:row>33</xdr:row>
      <xdr:rowOff>168776</xdr:rowOff>
    </xdr:to>
    <xdr:pic>
      <xdr:nvPicPr>
        <xdr:cNvPr id="6296" name="Image 6295">
          <a:extLst>
            <a:ext uri="{FF2B5EF4-FFF2-40B4-BE49-F238E27FC236}">
              <a16:creationId xmlns:a16="http://schemas.microsoft.com/office/drawing/2014/main" id="{6660EF87-C45F-6825-01A9-E2344CC37DB2}"/>
            </a:ext>
          </a:extLst>
        </xdr:cNvPr>
        <xdr:cNvPicPr>
          <a:picLocks noChangeAspect="1"/>
        </xdr:cNvPicPr>
      </xdr:nvPicPr>
      <xdr:blipFill>
        <a:blip xmlns:r="http://schemas.openxmlformats.org/officeDocument/2006/relationships" r:link="rId3"/>
        <a:stretch>
          <a:fillRect/>
        </a:stretch>
      </xdr:blipFill>
      <xdr:spPr>
        <a:xfrm>
          <a:off x="8589645" y="6892618"/>
          <a:ext cx="7195185" cy="262399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ontour_externe" displayName="Contour_externe" ref="B24:G29" totalsRowShown="0" headerRowDxfId="120" tableBorderDxfId="119">
  <autoFilter ref="B24:G29" xr:uid="{00000000-0009-0000-0100-000002000000}"/>
  <tableColumns count="6">
    <tableColumn id="1" xr3:uid="{00000000-0010-0000-0100-000001000000}" name="n° point" dataDxfId="118" dataCellStyle="Normal 2">
      <calculatedColumnFormula array="1">ROW()-ROW(Contour_externe[#Headers])</calculatedColumnFormula>
    </tableColumn>
    <tableColumn id="2" xr3:uid="{00000000-0010-0000-0100-000002000000}" name="x (m)" dataDxfId="117" dataCellStyle="Normal 2"/>
    <tableColumn id="3" xr3:uid="{00000000-0010-0000-0100-000003000000}" name="z (m)" dataDxfId="116" dataCellStyle="Normal 2"/>
    <tableColumn id="4" xr3:uid="{00000000-0010-0000-0100-000004000000}" name="Description " dataDxfId="115" dataCellStyle="Normal 2">
      <calculatedColumnFormula>"Position du point"</calculatedColumnFormula>
    </tableColumn>
    <tableColumn id="5" xr3:uid="{00000000-0010-0000-0100-000005000000}" name="Référence" dataDxfId="114" dataCellStyle="Normal 2">
      <calculatedColumnFormula>"cf figure 1"</calculatedColumnFormula>
    </tableColumn>
    <tableColumn id="6" xr3:uid="{00000000-0010-0000-0100-000006000000}" name="Observation" dataDxfId="113"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hargement" displayName="Chargement" ref="B52:E55" totalsRowShown="0" tableBorderDxfId="112">
  <autoFilter ref="B52:E55" xr:uid="{00000000-0009-0000-0100-000004000000}">
    <filterColumn colId="0" hiddenButton="1"/>
    <filterColumn colId="1" hiddenButton="1"/>
    <filterColumn colId="2" hiddenButton="1"/>
    <filterColumn colId="3" hiddenButton="1"/>
  </autoFilter>
  <tableColumns count="4">
    <tableColumn id="1" xr3:uid="{00000000-0010-0000-0300-000001000000}" name="N° pieu" dataDxfId="111">
      <calculatedColumnFormula>"Pieu -" &amp;ROW()-ROW('Input data'!B$53)</calculatedColumnFormula>
    </tableColumn>
    <tableColumn id="2" xr3:uid="{00000000-0010-0000-0300-000002000000}" name="N" dataDxfId="110">
      <calculatedColumnFormula>0</calculatedColumnFormula>
    </tableColumn>
    <tableColumn id="3" xr3:uid="{00000000-0010-0000-0300-000003000000}" name="V" dataDxfId="109">
      <calculatedColumnFormula>0</calculatedColumnFormula>
    </tableColumn>
    <tableColumn id="4" xr3:uid="{00000000-0010-0000-0300-000004000000}" name="M" dataDxfId="108">
      <calculatedColumnFormula>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upports" displayName="Supports" ref="B46:G48" totalsRowShown="0" dataDxfId="106" headerRowBorderDxfId="107" tableBorderDxfId="105" totalsRowBorderDxfId="104">
  <autoFilter ref="B46:G48" xr:uid="{00000000-0009-0000-0100-000003000000}"/>
  <tableColumns count="6">
    <tableColumn id="1" xr3:uid="{00000000-0010-0000-0200-000001000000}" name="Notation" dataDxfId="103" dataCellStyle="Normal 2">
      <calculatedColumnFormula array="1">"Appui -" &amp;ROW()-ROW(Supports[#Headers])</calculatedColumnFormula>
    </tableColumn>
    <tableColumn id="2" xr3:uid="{00000000-0010-0000-0200-000002000000}" name="x (m)" dataDxfId="102"/>
    <tableColumn id="3" xr3:uid="{00000000-0010-0000-0200-000003000000}" name="z (m)" dataDxfId="101" dataCellStyle="Normal 2">
      <calculatedColumnFormula>C$14</calculatedColumnFormula>
    </tableColumn>
    <tableColumn id="4" xr3:uid="{00000000-0010-0000-0200-000004000000}" name="Description" dataDxfId="100" dataCellStyle="Normal 2">
      <calculatedColumnFormula>"Espacement selon x "</calculatedColumnFormula>
    </tableColumn>
    <tableColumn id="5" xr3:uid="{00000000-0010-0000-0200-000005000000}" name="Observations " dataDxfId="99"/>
    <tableColumn id="6" xr3:uid="{00000000-0010-0000-0200-000006000000}" name="Colonne1" dataDxfId="9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ieux" displayName="Pieux" ref="B38:G40" headerRowDxfId="97" dataDxfId="95" totalsRowDxfId="93" headerRowBorderDxfId="96" tableBorderDxfId="94">
  <autoFilter ref="B38:G40" xr:uid="{00000000-0009-0000-0100-000001000000}"/>
  <tableColumns count="6">
    <tableColumn id="1" xr3:uid="{00000000-0010-0000-0000-000001000000}" name="Notation" totalsRowLabel="Total" dataDxfId="92" totalsRowDxfId="91">
      <calculatedColumnFormula array="1">"Pieu -" &amp;ROW()-ROW('Input data'!$B$38:$C$38)</calculatedColumnFormula>
    </tableColumn>
    <tableColumn id="2" xr3:uid="{00000000-0010-0000-0000-000002000000}" name="x (m)" dataDxfId="90" totalsRowDxfId="89"/>
    <tableColumn id="3" xr3:uid="{00000000-0010-0000-0000-000003000000}" name="z (m)" dataDxfId="88" totalsRowDxfId="87">
      <calculatedColumnFormula>0</calculatedColumnFormula>
    </tableColumn>
    <tableColumn id="4" xr3:uid="{00000000-0010-0000-0000-000004000000}" name="bord gauche des pieux" dataDxfId="86" totalsRowDxfId="85">
      <calculatedColumnFormula>C39-C$19/2</calculatedColumnFormula>
    </tableColumn>
    <tableColumn id="5" xr3:uid="{00000000-0010-0000-0000-000005000000}" name="bord droit des pieux" dataDxfId="84" totalsRowDxfId="83" dataCellStyle="Normal 2">
      <calculatedColumnFormula>C39+C$19/2</calculatedColumnFormula>
    </tableColumn>
    <tableColumn id="6" xr3:uid="{00000000-0010-0000-0000-000006000000}" name="Colonne3" totalsRowFunction="count" dataDxfId="82" totalsRowDxfId="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9CF049-1AF2-4C9A-BF2F-9480039A19F6}" name="Contours_internes" displayName="Contours_internes" ref="B33:G34" totalsRowShown="0" tableBorderDxfId="80">
  <autoFilter ref="B33:G34" xr:uid="{A49CF049-1AF2-4C9A-BF2F-9480039A19F6}"/>
  <tableColumns count="6">
    <tableColumn id="1" xr3:uid="{CB2383FA-D567-4C7C-A800-975B2FE0DD2B}" name="n° point" dataDxfId="79" dataCellStyle="Normal 2">
      <calculatedColumnFormula array="1">ROW()-ROW(Contours_internes[#Headers])</calculatedColumnFormula>
    </tableColumn>
    <tableColumn id="2" xr3:uid="{ED99D885-D6ED-412C-AD34-2A2D2F83E9E8}" name="x (m)" dataDxfId="78" dataCellStyle="Normal 2"/>
    <tableColumn id="3" xr3:uid="{73345D13-E778-4B6C-818C-A58A5C4D5DF8}" name="z (m)" dataDxfId="77" dataCellStyle="Normal 2"/>
    <tableColumn id="4" xr3:uid="{F830B05C-2B51-4A8F-A4C2-5FD1C38862B3}" name="Description " dataDxfId="76" dataCellStyle="Normal 2">
      <calculatedColumnFormula>"Position du point"</calculatedColumnFormula>
    </tableColumn>
    <tableColumn id="5" xr3:uid="{BA0A1EF6-CE51-4FF8-8F02-074A8B236040}" name="Référence" dataDxfId="75" dataCellStyle="Normal 2">
      <calculatedColumnFormula>"cf figure 1"</calculatedColumnFormula>
    </tableColumn>
    <tableColumn id="6" xr3:uid="{A2A0131F-4822-46C4-BE41-ED944FF48B4F}" name="Observation" dataDxfId="7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irants_vert" displayName="Tirants_vert" ref="B24:G33" totalsRowShown="0" headerRowDxfId="73" dataDxfId="72" tableBorderDxfId="71">
  <autoFilter ref="B24:G33" xr:uid="{00000000-0009-0000-0100-000005000000}">
    <filterColumn colId="0" hiddenButton="1"/>
    <filterColumn colId="1" hiddenButton="1"/>
    <filterColumn colId="2" hiddenButton="1"/>
    <filterColumn colId="3" hiddenButton="1"/>
    <filterColumn colId="4" hiddenButton="1"/>
    <filterColumn colId="5" hiddenButton="1"/>
  </autoFilter>
  <sortState xmlns:xlrd2="http://schemas.microsoft.com/office/spreadsheetml/2017/richdata2" ref="B25:G25">
    <sortCondition ref="C24:C25"/>
  </sortState>
  <tableColumns count="6">
    <tableColumn id="1" xr3:uid="{00000000-0010-0000-0400-000001000000}" name="ID" dataDxfId="70"/>
    <tableColumn id="2" xr3:uid="{00000000-0010-0000-0400-000002000000}" name="x1 (m)" dataDxfId="69"/>
    <tableColumn id="3" xr3:uid="{00000000-0010-0000-0400-000003000000}" name="z1 (m)" dataDxfId="68"/>
    <tableColumn id="4" xr3:uid="{00000000-0010-0000-0400-000004000000}" name="x2 (m)" dataDxfId="67"/>
    <tableColumn id="5" xr3:uid="{00000000-0010-0000-0400-000005000000}" name="z2 (m)" dataDxfId="66"/>
    <tableColumn id="6" xr3:uid="{00000000-0010-0000-0400-000006000000}" name="garder barre ?" dataDxfId="6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2CB92C-0F36-46FB-AC1F-7769F7640544}" name="Tirants_hor" displayName="Tirants_hor" ref="B36:G38" totalsRowShown="0" dataDxfId="64" tableBorderDxfId="63">
  <autoFilter ref="B36:G38" xr:uid="{192CB92C-0F36-46FB-AC1F-7769F7640544}">
    <filterColumn colId="0" hiddenButton="1"/>
    <filterColumn colId="1" hiddenButton="1"/>
    <filterColumn colId="2" hiddenButton="1"/>
    <filterColumn colId="3" hiddenButton="1"/>
    <filterColumn colId="4" hiddenButton="1"/>
    <filterColumn colId="5" hiddenButton="1"/>
  </autoFilter>
  <tableColumns count="6">
    <tableColumn id="1" xr3:uid="{8EC08193-7BFE-4513-9517-BDDCCB2A7FD3}" name="ID" dataDxfId="62"/>
    <tableColumn id="2" xr3:uid="{E7F3F8C2-0763-459A-9637-533CA9413B63}" name="x1 (m)" dataDxfId="61"/>
    <tableColumn id="3" xr3:uid="{25B5E59E-88E1-4CEC-8394-27FFC92B33D4}" name="z1 (m)" dataDxfId="60"/>
    <tableColumn id="4" xr3:uid="{E86D9E03-B286-4FCC-8CFD-0E755A9E6061}" name="x2 (m)" dataDxfId="59"/>
    <tableColumn id="5" xr3:uid="{44A6B112-F8B4-434E-AD16-D78B7B16AB02}" name="z2 (m)" dataDxfId="58"/>
    <tableColumn id="6" xr3:uid="{92DDAF62-D4F6-4A6C-8B4C-16840961FC1F}" name="garder barre ?" dataDxfId="57"/>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78F5EAD-B78B-4855-B1A1-89EE23AF1054}" name="Noeuds_treillis" displayName="Noeuds_treillis" ref="B15:G23" totalsRowShown="0" headerRowDxfId="56" dataDxfId="54" headerRowBorderDxfId="55">
  <autoFilter ref="B15:G23" xr:uid="{D78F5EAD-B78B-4855-B1A1-89EE23AF1054}"/>
  <tableColumns count="6">
    <tableColumn id="1" xr3:uid="{E99DA610-BA75-4099-8AD4-175218D06324}" name="ID" dataDxfId="53"/>
    <tableColumn id="2" xr3:uid="{2E370FA6-AED0-4557-8BC1-91189C7BB751}" name="x (m)" dataDxfId="52"/>
    <tableColumn id="3" xr3:uid="{A185986B-CA7F-4AAF-875B-FEE0C22A4245}" name="z (m)" dataDxfId="51"/>
    <tableColumn id="4" xr3:uid="{41E94D24-14CB-4FD7-9756-944FEEA5587D}" name="Pieux" dataDxfId="50"/>
    <tableColumn id="5" xr3:uid="{78772BCB-4E05-471B-A675-94F7E95402F1}" name="Support" dataDxfId="49"/>
    <tableColumn id="6" xr3:uid="{95EC3626-965D-428C-84A5-077E47930528}" name="Colonne3" dataDxfId="4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22B444-3A13-4C60-9AA6-AC54CE8B7D37}" name="Treillis" displayName="Treillis" ref="B26:G27" insertRow="1" totalsRowShown="0" headerRowDxfId="47" dataDxfId="46" tableBorderDxfId="45">
  <autoFilter ref="B26:G27" xr:uid="{3722B444-3A13-4C60-9AA6-AC54CE8B7D37}"/>
  <tableColumns count="6">
    <tableColumn id="1" xr3:uid="{467195DC-E5F8-4BA7-AE78-C5563C169788}" name="ID" dataDxfId="44"/>
    <tableColumn id="2" xr3:uid="{E05744A8-4A2F-455E-BF40-29B8DBF2474F}" name="nœud 1" dataDxfId="43"/>
    <tableColumn id="3" xr3:uid="{9CD9E6D1-BB0C-4B9E-94F4-090B22FC45F0}" name="nœud 2 " dataDxfId="42"/>
    <tableColumn id="4" xr3:uid="{C6D25108-5EC5-49E7-808B-90655355576D}" name="force dans la barre (kN)" dataDxfId="41"/>
    <tableColumn id="5" xr3:uid="{53634ED3-D324-437A-9332-1893488F01C9}" name="Bielle/Tirant" dataDxfId="39"/>
    <tableColumn id="6" xr3:uid="{698FDC32-C576-4609-99FA-FFF9A95AE747}" name="Colonne1" dataDxfId="4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9.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A1:G36"/>
  <sheetViews>
    <sheetView zoomScale="115" zoomScaleNormal="115" workbookViewId="0">
      <selection activeCell="H32" sqref="H32"/>
    </sheetView>
  </sheetViews>
  <sheetFormatPr baseColWidth="10" defaultColWidth="11.44140625" defaultRowHeight="14.4"/>
  <cols>
    <col min="1" max="1" width="23.6640625" style="1" bestFit="1" customWidth="1"/>
    <col min="2" max="2" width="16.88671875" style="1" customWidth="1"/>
    <col min="3" max="3" width="11.44140625" style="1" customWidth="1"/>
    <col min="4" max="16384" width="11.44140625" style="1"/>
  </cols>
  <sheetData>
    <row r="1" spans="1:6" ht="15" customHeight="1" thickBot="1"/>
    <row r="2" spans="1:6" ht="19.95" customHeight="1">
      <c r="A2" s="305" t="s">
        <v>0</v>
      </c>
      <c r="B2" s="306"/>
      <c r="C2" s="306"/>
      <c r="D2" s="306"/>
      <c r="E2" s="306"/>
      <c r="F2" s="307"/>
    </row>
    <row r="3" spans="1:6">
      <c r="A3" s="303" t="s">
        <v>1</v>
      </c>
      <c r="B3" s="298"/>
      <c r="C3" s="302"/>
      <c r="D3" s="297"/>
      <c r="E3" s="298"/>
      <c r="F3" s="299"/>
    </row>
    <row r="4" spans="1:6">
      <c r="A4" s="304"/>
      <c r="B4" s="300"/>
      <c r="C4" s="300"/>
      <c r="D4" s="300"/>
      <c r="E4" s="300"/>
      <c r="F4" s="301"/>
    </row>
    <row r="5" spans="1:6" ht="20.399999999999999" customHeight="1" thickBot="1">
      <c r="A5" s="309"/>
      <c r="B5" s="310"/>
      <c r="C5" s="310"/>
      <c r="D5" s="310"/>
      <c r="E5" s="310"/>
      <c r="F5" s="311"/>
    </row>
    <row r="6" spans="1:6">
      <c r="A6" s="255" t="s">
        <v>2</v>
      </c>
      <c r="B6" s="256" t="s">
        <v>3</v>
      </c>
      <c r="C6" s="257"/>
      <c r="D6" s="257"/>
      <c r="E6" s="257"/>
      <c r="F6" s="258"/>
    </row>
    <row r="7" spans="1:6">
      <c r="A7" s="5" t="s">
        <v>4</v>
      </c>
      <c r="B7" s="259">
        <v>45967</v>
      </c>
      <c r="F7" s="4"/>
    </row>
    <row r="8" spans="1:6" ht="40.200000000000003" customHeight="1">
      <c r="A8" s="312" t="s">
        <v>5</v>
      </c>
      <c r="B8" s="290"/>
      <c r="C8" s="290"/>
      <c r="D8" s="290"/>
      <c r="E8" s="290"/>
      <c r="F8" s="291"/>
    </row>
    <row r="9" spans="1:6" ht="15.6" customHeight="1">
      <c r="A9" s="78"/>
      <c r="B9" s="260"/>
      <c r="C9" s="260"/>
      <c r="D9" s="260"/>
      <c r="E9" s="260"/>
      <c r="F9" s="79"/>
    </row>
    <row r="10" spans="1:6" ht="34.200000000000003" customHeight="1">
      <c r="A10" s="2" t="s">
        <v>6</v>
      </c>
      <c r="B10" s="292" t="s">
        <v>7</v>
      </c>
      <c r="C10" s="290"/>
      <c r="D10" s="290"/>
      <c r="E10" s="290"/>
      <c r="F10" s="291"/>
    </row>
    <row r="11" spans="1:6" ht="30.6" customHeight="1">
      <c r="A11" s="2" t="s">
        <v>8</v>
      </c>
      <c r="B11" s="292" t="s">
        <v>208</v>
      </c>
      <c r="C11" s="290"/>
      <c r="D11" s="290"/>
      <c r="E11" s="290"/>
      <c r="F11" s="291"/>
    </row>
    <row r="12" spans="1:6" ht="31.95" customHeight="1">
      <c r="A12" s="5" t="s">
        <v>9</v>
      </c>
      <c r="B12" s="308" t="s">
        <v>10</v>
      </c>
      <c r="C12" s="290"/>
      <c r="D12" s="290"/>
      <c r="E12" s="290"/>
      <c r="F12" s="291"/>
    </row>
    <row r="13" spans="1:6">
      <c r="A13" s="2" t="s">
        <v>11</v>
      </c>
      <c r="B13" s="289" t="s">
        <v>12</v>
      </c>
      <c r="C13" s="290"/>
      <c r="D13" s="290"/>
      <c r="E13" s="290"/>
      <c r="F13" s="291"/>
    </row>
    <row r="14" spans="1:6">
      <c r="A14" s="3"/>
      <c r="F14" s="4"/>
    </row>
    <row r="15" spans="1:6">
      <c r="A15" s="3"/>
      <c r="F15" s="4"/>
    </row>
    <row r="16" spans="1:6">
      <c r="A16" s="5" t="s">
        <v>13</v>
      </c>
      <c r="B16" s="261" t="s">
        <v>215</v>
      </c>
      <c r="F16" s="4"/>
    </row>
    <row r="17" spans="1:7">
      <c r="A17" s="3"/>
      <c r="F17" s="4"/>
    </row>
    <row r="18" spans="1:7">
      <c r="A18" s="2" t="s">
        <v>14</v>
      </c>
      <c r="B18" s="289" t="s">
        <v>209</v>
      </c>
      <c r="C18" s="290"/>
      <c r="D18" s="290"/>
      <c r="E18" s="290"/>
      <c r="F18" s="291"/>
    </row>
    <row r="19" spans="1:7" ht="27" customHeight="1">
      <c r="A19" s="3"/>
      <c r="B19" s="295" t="s">
        <v>216</v>
      </c>
      <c r="C19" s="295"/>
      <c r="D19" s="295"/>
      <c r="E19" s="295"/>
      <c r="F19" s="296"/>
      <c r="G19"/>
    </row>
    <row r="20" spans="1:7">
      <c r="A20" s="3"/>
      <c r="B20" s="289" t="s">
        <v>15</v>
      </c>
      <c r="C20" s="290"/>
      <c r="D20" s="290"/>
      <c r="E20" s="290"/>
      <c r="F20" s="291"/>
    </row>
    <row r="21" spans="1:7">
      <c r="A21" s="3"/>
      <c r="B21" s="289" t="s">
        <v>15</v>
      </c>
      <c r="C21" s="290"/>
      <c r="D21" s="290"/>
      <c r="E21" s="290"/>
      <c r="F21" s="291"/>
    </row>
    <row r="22" spans="1:7">
      <c r="A22" s="3"/>
      <c r="B22" s="289" t="s">
        <v>15</v>
      </c>
      <c r="C22" s="290"/>
      <c r="D22" s="290"/>
      <c r="E22" s="290"/>
      <c r="F22" s="291"/>
    </row>
    <row r="23" spans="1:7">
      <c r="A23" s="3"/>
      <c r="B23" s="289" t="s">
        <v>15</v>
      </c>
      <c r="C23" s="290"/>
      <c r="D23" s="290"/>
      <c r="E23" s="290"/>
      <c r="F23" s="291"/>
    </row>
    <row r="24" spans="1:7">
      <c r="A24" s="3"/>
      <c r="F24" s="4"/>
    </row>
    <row r="25" spans="1:7">
      <c r="A25" s="3"/>
      <c r="F25" s="4"/>
    </row>
    <row r="26" spans="1:7" ht="26.25" customHeight="1">
      <c r="A26" s="3" t="s">
        <v>16</v>
      </c>
      <c r="B26" s="293" t="s">
        <v>210</v>
      </c>
      <c r="C26" s="293"/>
      <c r="D26" s="293"/>
      <c r="E26" s="293"/>
      <c r="F26" s="4"/>
    </row>
    <row r="27" spans="1:7">
      <c r="A27" s="3"/>
      <c r="B27" s="293"/>
      <c r="C27" s="293"/>
      <c r="D27" s="293"/>
      <c r="E27" s="293"/>
      <c r="F27" s="4"/>
    </row>
    <row r="28" spans="1:7">
      <c r="A28" s="3"/>
      <c r="B28" s="293"/>
      <c r="C28" s="293"/>
      <c r="D28" s="293"/>
      <c r="E28" s="293"/>
      <c r="F28" s="4"/>
    </row>
    <row r="29" spans="1:7">
      <c r="A29" s="3"/>
      <c r="B29" s="293"/>
      <c r="C29" s="293"/>
      <c r="D29" s="293"/>
      <c r="E29" s="293"/>
      <c r="F29" s="4"/>
    </row>
    <row r="30" spans="1:7">
      <c r="A30" s="3"/>
      <c r="B30" s="293"/>
      <c r="C30" s="293"/>
      <c r="D30" s="293"/>
      <c r="E30" s="293"/>
      <c r="F30" s="4"/>
    </row>
    <row r="31" spans="1:7">
      <c r="A31" s="3"/>
      <c r="B31" s="293"/>
      <c r="C31" s="293"/>
      <c r="D31" s="293"/>
      <c r="E31" s="293"/>
      <c r="F31" s="4"/>
    </row>
    <row r="32" spans="1:7">
      <c r="A32" s="3"/>
      <c r="B32" s="293"/>
      <c r="C32" s="293"/>
      <c r="D32" s="293"/>
      <c r="E32" s="293"/>
      <c r="F32" s="4"/>
    </row>
    <row r="33" spans="1:6">
      <c r="A33" s="3"/>
      <c r="B33" s="293"/>
      <c r="C33" s="293"/>
      <c r="D33" s="293"/>
      <c r="E33" s="293"/>
      <c r="F33" s="4"/>
    </row>
    <row r="34" spans="1:6" ht="29.25" customHeight="1">
      <c r="A34" s="3"/>
      <c r="B34" s="293"/>
      <c r="C34" s="293"/>
      <c r="D34" s="293"/>
      <c r="E34" s="293"/>
      <c r="F34" s="4"/>
    </row>
    <row r="35" spans="1:6" ht="49.5" customHeight="1">
      <c r="A35" s="3"/>
      <c r="B35" s="293"/>
      <c r="C35" s="293"/>
      <c r="D35" s="293"/>
      <c r="E35" s="293"/>
      <c r="F35" s="4"/>
    </row>
    <row r="36" spans="1:6" ht="54.75" customHeight="1" thickBot="1">
      <c r="A36" s="6"/>
      <c r="B36" s="294"/>
      <c r="C36" s="294"/>
      <c r="D36" s="294"/>
      <c r="E36" s="294"/>
      <c r="F36" s="7"/>
    </row>
  </sheetData>
  <mergeCells count="17">
    <mergeCell ref="A2:F2"/>
    <mergeCell ref="B12:F12"/>
    <mergeCell ref="B11:F11"/>
    <mergeCell ref="A5:F5"/>
    <mergeCell ref="A8:F8"/>
    <mergeCell ref="B13:F13"/>
    <mergeCell ref="B10:F10"/>
    <mergeCell ref="B26:E36"/>
    <mergeCell ref="B19:F19"/>
    <mergeCell ref="D3:F4"/>
    <mergeCell ref="B20:F20"/>
    <mergeCell ref="C3:C4"/>
    <mergeCell ref="B22:F22"/>
    <mergeCell ref="A3:B4"/>
    <mergeCell ref="B21:F21"/>
    <mergeCell ref="B18:F18"/>
    <mergeCell ref="B23:F23"/>
  </mergeCells>
  <pageMargins left="0.7" right="0.7" top="0.75" bottom="0.75" header="0.3" footer="0.3"/>
  <pageSetup paperSize="9" orientation="portrait"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0000"/>
    <outlinePr showOutlineSymbols="0"/>
    <pageSetUpPr fitToPage="1"/>
  </sheetPr>
  <dimension ref="A1:AEI1178"/>
  <sheetViews>
    <sheetView showOutlineSymbols="0" zoomScale="85" zoomScaleNormal="85" zoomScaleSheetLayoutView="98" workbookViewId="0">
      <selection activeCell="B25" sqref="B25"/>
    </sheetView>
  </sheetViews>
  <sheetFormatPr baseColWidth="10" defaultColWidth="11.44140625" defaultRowHeight="14.4" outlineLevelRow="1"/>
  <cols>
    <col min="1" max="1" width="5.33203125" style="1" customWidth="1"/>
    <col min="2" max="2" width="22.6640625" style="36" customWidth="1"/>
    <col min="3" max="3" width="13.6640625" customWidth="1"/>
    <col min="4" max="4" width="15.109375" customWidth="1"/>
    <col min="5" max="5" width="26.109375" style="32" customWidth="1"/>
    <col min="6" max="6" width="22.44140625" style="31" customWidth="1"/>
    <col min="7" max="7" width="15.6640625" style="36" customWidth="1"/>
    <col min="8" max="8" width="20.5546875" style="1" bestFit="1" customWidth="1"/>
    <col min="9" max="9" width="8.5546875" style="1" customWidth="1"/>
    <col min="10" max="10" width="25.109375" style="1" customWidth="1"/>
    <col min="11" max="11" width="20.6640625" style="1" customWidth="1"/>
    <col min="12" max="12" width="10.5546875" style="1" customWidth="1"/>
    <col min="13" max="13" width="26.88671875" style="1" customWidth="1"/>
    <col min="14" max="16" width="22" style="1" customWidth="1"/>
    <col min="17" max="17" width="7.6640625" style="1" customWidth="1"/>
    <col min="18" max="20" width="22" style="1" customWidth="1"/>
    <col min="21" max="21" width="13.109375" style="1" customWidth="1"/>
    <col min="22" max="24" width="11.44140625" style="1" customWidth="1"/>
    <col min="25" max="25" width="14.88671875" style="1" customWidth="1"/>
    <col min="26" max="37" width="11.44140625" style="1" customWidth="1"/>
    <col min="38" max="38" width="14" style="1" customWidth="1"/>
    <col min="39" max="815" width="11.44140625" style="1" customWidth="1"/>
  </cols>
  <sheetData>
    <row r="1" spans="2:23" s="1" customFormat="1" ht="15" customHeight="1" thickBot="1">
      <c r="B1" s="33"/>
      <c r="E1" s="27"/>
      <c r="F1" s="37"/>
      <c r="G1" s="33"/>
    </row>
    <row r="2" spans="2:23" s="1" customFormat="1" ht="15" customHeight="1" thickBot="1">
      <c r="B2" s="346" t="s">
        <v>17</v>
      </c>
      <c r="C2" s="347"/>
      <c r="D2" s="347"/>
      <c r="E2" s="347"/>
      <c r="F2" s="347"/>
      <c r="G2" s="348"/>
    </row>
    <row r="3" spans="2:23" s="1" customFormat="1">
      <c r="B3" s="33"/>
      <c r="E3" s="27"/>
      <c r="F3" s="37"/>
      <c r="G3" s="33"/>
    </row>
    <row r="4" spans="2:23" ht="31.5" customHeight="1">
      <c r="B4" s="353" t="s">
        <v>18</v>
      </c>
      <c r="C4" s="335"/>
      <c r="D4" s="335"/>
      <c r="E4" s="335"/>
      <c r="F4" s="335"/>
      <c r="G4" s="336"/>
      <c r="I4" s="77"/>
    </row>
    <row r="5" spans="2:23" s="1" customFormat="1">
      <c r="B5" s="332" t="s">
        <v>1</v>
      </c>
      <c r="C5" s="298"/>
      <c r="D5" s="302" t="s">
        <v>19</v>
      </c>
      <c r="E5" s="329" t="s">
        <v>20</v>
      </c>
      <c r="F5" s="298"/>
      <c r="G5" s="330"/>
    </row>
    <row r="6" spans="2:23" s="1" customFormat="1">
      <c r="B6" s="333"/>
      <c r="C6" s="300"/>
      <c r="D6" s="300"/>
      <c r="E6" s="300"/>
      <c r="F6" s="300"/>
      <c r="G6" s="331"/>
      <c r="I6" s="77"/>
    </row>
    <row r="7" spans="2:23" s="1" customFormat="1">
      <c r="B7" s="177" t="s">
        <v>21</v>
      </c>
      <c r="C7" s="176"/>
      <c r="D7" s="176"/>
      <c r="E7" s="176"/>
      <c r="F7" s="176"/>
      <c r="G7" s="176"/>
      <c r="I7" s="77"/>
    </row>
    <row r="8" spans="2:23" ht="29.25" customHeight="1">
      <c r="B8" s="342" t="s">
        <v>217</v>
      </c>
      <c r="C8" s="342"/>
      <c r="D8" s="342"/>
      <c r="E8" s="342"/>
      <c r="F8" s="342"/>
      <c r="G8" s="342"/>
      <c r="U8" s="14"/>
    </row>
    <row r="9" spans="2:23" ht="24" customHeight="1" thickBot="1">
      <c r="B9" s="352" t="s">
        <v>22</v>
      </c>
      <c r="C9" s="298"/>
      <c r="D9" s="298"/>
      <c r="E9" s="298"/>
      <c r="F9" s="298"/>
      <c r="G9" s="330"/>
      <c r="I9" s="77"/>
    </row>
    <row r="10" spans="2:23" ht="15" customHeight="1" thickBot="1">
      <c r="B10" s="349" t="s">
        <v>31</v>
      </c>
      <c r="C10" s="350"/>
      <c r="D10" s="350"/>
      <c r="E10" s="350"/>
      <c r="F10" s="350"/>
      <c r="G10" s="351"/>
      <c r="I10" s="214"/>
      <c r="J10" s="214"/>
      <c r="K10" s="214"/>
      <c r="L10" s="214"/>
      <c r="M10" s="214"/>
      <c r="N10" s="214"/>
      <c r="O10" s="214"/>
      <c r="P10" s="214"/>
      <c r="V10" s="12"/>
      <c r="W10" s="12"/>
    </row>
    <row r="11" spans="2:23">
      <c r="B11" s="63" t="s">
        <v>32</v>
      </c>
      <c r="C11" s="52" t="s">
        <v>33</v>
      </c>
      <c r="D11" s="52" t="s">
        <v>34</v>
      </c>
      <c r="E11" s="53" t="s">
        <v>35</v>
      </c>
      <c r="F11" s="54" t="s">
        <v>36</v>
      </c>
      <c r="G11" s="63" t="s">
        <v>37</v>
      </c>
      <c r="I11" s="214"/>
      <c r="J11" s="214"/>
      <c r="K11" s="214"/>
      <c r="L11" s="214"/>
      <c r="M11" s="214"/>
      <c r="N11" s="214"/>
      <c r="O11" s="214"/>
      <c r="P11" s="214"/>
      <c r="V11" s="12"/>
      <c r="W11" s="12"/>
    </row>
    <row r="12" spans="2:23">
      <c r="B12" s="62" t="s">
        <v>38</v>
      </c>
      <c r="C12" s="180">
        <f>MAX(C25:C29)-MIN(C25:C29)</f>
        <v>6</v>
      </c>
      <c r="D12" s="55" t="s">
        <v>39</v>
      </c>
      <c r="E12" s="42" t="s">
        <v>40</v>
      </c>
      <c r="F12" s="43" t="s">
        <v>41</v>
      </c>
      <c r="G12" s="62"/>
      <c r="I12" s="214"/>
      <c r="J12" s="214"/>
      <c r="K12" s="214"/>
      <c r="L12" s="214"/>
      <c r="M12" s="214"/>
      <c r="N12" s="214"/>
      <c r="O12" s="214"/>
      <c r="P12" s="214"/>
      <c r="V12" s="12"/>
      <c r="W12" s="12"/>
    </row>
    <row r="13" spans="2:23">
      <c r="B13" s="62" t="s">
        <v>42</v>
      </c>
      <c r="C13" s="21">
        <v>3</v>
      </c>
      <c r="D13" s="55" t="s">
        <v>39</v>
      </c>
      <c r="E13" s="42" t="s">
        <v>43</v>
      </c>
      <c r="F13" s="43" t="s">
        <v>44</v>
      </c>
      <c r="G13" s="62"/>
      <c r="I13" s="214"/>
      <c r="J13" s="214"/>
      <c r="K13" s="214"/>
      <c r="L13" s="214"/>
      <c r="M13" s="214"/>
      <c r="N13" s="214"/>
      <c r="O13" s="214"/>
      <c r="P13" s="214"/>
      <c r="V13" s="12"/>
      <c r="W13" s="12"/>
    </row>
    <row r="14" spans="2:23">
      <c r="B14" s="62" t="s">
        <v>45</v>
      </c>
      <c r="C14" s="180">
        <f>MAX(D25:D29)-MIN(D25:D29)</f>
        <v>1</v>
      </c>
      <c r="D14" s="55" t="s">
        <v>39</v>
      </c>
      <c r="E14" s="42" t="s">
        <v>46</v>
      </c>
      <c r="F14" s="62" t="s">
        <v>47</v>
      </c>
      <c r="G14" s="62"/>
      <c r="I14" s="214"/>
      <c r="J14" s="214"/>
      <c r="K14" s="214"/>
      <c r="L14" s="214"/>
      <c r="M14" s="214"/>
      <c r="N14" s="214"/>
      <c r="O14" s="214"/>
      <c r="P14" s="214"/>
      <c r="V14" s="12"/>
      <c r="W14" s="12"/>
    </row>
    <row r="15" spans="2:23" ht="28.95" customHeight="1">
      <c r="B15" s="62" t="s">
        <v>48</v>
      </c>
      <c r="C15" s="21">
        <f>0.1*C$14</f>
        <v>0.1</v>
      </c>
      <c r="D15" s="55" t="s">
        <v>39</v>
      </c>
      <c r="E15" s="42" t="s">
        <v>49</v>
      </c>
      <c r="F15" s="62" t="s">
        <v>47</v>
      </c>
      <c r="G15" s="62"/>
      <c r="I15" s="214"/>
      <c r="J15" s="214"/>
      <c r="K15" s="214"/>
      <c r="L15" s="214"/>
      <c r="M15" s="214"/>
      <c r="N15" s="214"/>
      <c r="O15" s="214"/>
      <c r="P15" s="214"/>
    </row>
    <row r="16" spans="2:23" ht="28.95" customHeight="1">
      <c r="B16" s="62" t="s">
        <v>50</v>
      </c>
      <c r="C16" s="180">
        <f>C19</f>
        <v>0.434</v>
      </c>
      <c r="D16" s="55" t="s">
        <v>39</v>
      </c>
      <c r="E16" s="42" t="s">
        <v>51</v>
      </c>
      <c r="F16" s="43"/>
      <c r="G16" s="62"/>
      <c r="I16" s="214"/>
      <c r="J16" s="214"/>
      <c r="K16" s="214"/>
      <c r="L16" s="214"/>
      <c r="M16" s="214"/>
      <c r="N16" s="214"/>
      <c r="O16" s="214"/>
      <c r="P16" s="214"/>
    </row>
    <row r="17" spans="2:23" s="1" customFormat="1" ht="15.6" customHeight="1">
      <c r="B17" s="354" t="s">
        <v>52</v>
      </c>
      <c r="C17" s="335"/>
      <c r="D17" s="335"/>
      <c r="E17" s="335"/>
      <c r="F17" s="335"/>
      <c r="G17" s="336"/>
      <c r="I17" s="214"/>
      <c r="J17" s="214"/>
      <c r="K17" s="214"/>
      <c r="L17" s="214"/>
      <c r="M17" s="214"/>
      <c r="N17" s="214"/>
      <c r="O17" s="214"/>
      <c r="P17" s="214"/>
    </row>
    <row r="18" spans="2:23">
      <c r="B18" s="64" t="s">
        <v>53</v>
      </c>
      <c r="C18" s="22">
        <v>0.62</v>
      </c>
      <c r="D18" s="55" t="s">
        <v>39</v>
      </c>
      <c r="E18" s="44" t="s">
        <v>54</v>
      </c>
      <c r="F18" s="45"/>
      <c r="G18" s="65"/>
      <c r="I18" s="214"/>
      <c r="J18" s="214"/>
      <c r="K18" s="214"/>
      <c r="L18" s="214"/>
      <c r="M18" s="214"/>
      <c r="N18" s="214"/>
      <c r="O18" s="214"/>
      <c r="P18" s="214"/>
      <c r="W18" s="13"/>
    </row>
    <row r="19" spans="2:23" ht="16.95" customHeight="1">
      <c r="B19" s="62" t="s">
        <v>55</v>
      </c>
      <c r="C19" s="182">
        <f>0.7*C18</f>
        <v>0.434</v>
      </c>
      <c r="D19" s="55" t="s">
        <v>39</v>
      </c>
      <c r="E19" s="44" t="s">
        <v>56</v>
      </c>
      <c r="F19" s="45" t="s">
        <v>57</v>
      </c>
      <c r="G19" s="66"/>
      <c r="I19" s="214"/>
      <c r="J19" s="214"/>
      <c r="K19" s="214"/>
      <c r="L19" s="214"/>
      <c r="M19" s="214"/>
      <c r="N19" s="214"/>
      <c r="O19" s="214"/>
      <c r="P19" s="214"/>
      <c r="W19" s="13"/>
    </row>
    <row r="20" spans="2:23" ht="30" customHeight="1">
      <c r="B20" s="62" t="s">
        <v>58</v>
      </c>
      <c r="C20" s="182">
        <v>2</v>
      </c>
      <c r="D20" s="55" t="s">
        <v>59</v>
      </c>
      <c r="E20" s="42" t="s">
        <v>60</v>
      </c>
      <c r="F20" s="43" t="s">
        <v>57</v>
      </c>
      <c r="G20" s="62" t="s">
        <v>61</v>
      </c>
      <c r="I20" s="214"/>
      <c r="J20" s="214"/>
      <c r="K20" s="214"/>
      <c r="L20" s="214"/>
      <c r="M20" s="214"/>
      <c r="N20" s="214"/>
      <c r="O20" s="214"/>
      <c r="P20" s="214"/>
    </row>
    <row r="21" spans="2:23" ht="18" customHeight="1">
      <c r="B21" s="229"/>
      <c r="C21" s="230"/>
      <c r="D21" s="231"/>
      <c r="E21" s="232"/>
      <c r="F21" s="233"/>
      <c r="G21" s="229"/>
      <c r="I21" s="214"/>
      <c r="J21" s="214"/>
      <c r="K21" s="214"/>
      <c r="L21" s="214"/>
      <c r="M21" s="214"/>
      <c r="N21" s="214"/>
      <c r="O21" s="214"/>
      <c r="P21" s="214"/>
    </row>
    <row r="22" spans="2:23" ht="18" customHeight="1">
      <c r="B22" s="334" t="s">
        <v>23</v>
      </c>
      <c r="C22" s="335"/>
      <c r="D22" s="335"/>
      <c r="E22" s="335"/>
      <c r="F22" s="335"/>
      <c r="G22" s="336"/>
      <c r="I22" s="214"/>
      <c r="J22" s="214"/>
      <c r="K22" s="214"/>
      <c r="L22" s="214"/>
      <c r="M22" s="214"/>
      <c r="N22" s="214"/>
      <c r="O22" s="214"/>
      <c r="P22" s="214"/>
    </row>
    <row r="23" spans="2:23" ht="18" customHeight="1">
      <c r="B23" s="194" t="s">
        <v>183</v>
      </c>
      <c r="C23" s="181"/>
      <c r="D23" s="181"/>
      <c r="E23" s="181"/>
      <c r="F23" s="181"/>
      <c r="G23" s="183"/>
      <c r="I23" s="214"/>
      <c r="J23" s="214"/>
      <c r="K23" s="214"/>
      <c r="L23" s="214"/>
      <c r="M23" s="214"/>
      <c r="N23" s="214"/>
      <c r="O23" s="214"/>
      <c r="P23" s="214"/>
    </row>
    <row r="24" spans="2:23" ht="18" customHeight="1">
      <c r="B24" s="206" t="s">
        <v>24</v>
      </c>
      <c r="C24" s="207" t="s">
        <v>25</v>
      </c>
      <c r="D24" s="207" t="s">
        <v>26</v>
      </c>
      <c r="E24" s="208" t="s">
        <v>27</v>
      </c>
      <c r="F24" s="209" t="s">
        <v>28</v>
      </c>
      <c r="G24" s="187" t="s">
        <v>29</v>
      </c>
      <c r="I24" s="214"/>
      <c r="J24" s="214"/>
      <c r="K24" s="214"/>
      <c r="L24" s="214"/>
      <c r="M24" s="214"/>
      <c r="N24" s="214"/>
      <c r="O24" s="214"/>
      <c r="P24" s="214"/>
    </row>
    <row r="25" spans="2:23" ht="18" customHeight="1">
      <c r="B25" s="184">
        <f t="array" ref="B25">ROW()-ROW(Contour_externe[#Headers])</f>
        <v>1</v>
      </c>
      <c r="C25" s="21">
        <v>0</v>
      </c>
      <c r="D25" s="185">
        <v>0</v>
      </c>
      <c r="E25" s="28" t="str">
        <f t="shared" ref="E25:E28" si="0">"Position du point"</f>
        <v>Position du point</v>
      </c>
      <c r="F25" s="28" t="str">
        <f t="shared" ref="F25:F28" si="1">"cf figure 1"</f>
        <v>cf figure 1</v>
      </c>
      <c r="G25" s="193"/>
      <c r="I25" s="214"/>
      <c r="J25" s="214"/>
      <c r="K25" s="214"/>
      <c r="L25" s="214"/>
      <c r="M25" s="214"/>
      <c r="N25" s="214"/>
      <c r="O25" s="214"/>
      <c r="P25" s="214"/>
    </row>
    <row r="26" spans="2:23" ht="18" customHeight="1">
      <c r="B26" s="184" cm="1">
        <f t="array" ref="B26">ROW()-ROW(Contour_externe[#Headers])</f>
        <v>2</v>
      </c>
      <c r="C26" s="21">
        <v>6</v>
      </c>
      <c r="D26" s="185">
        <v>0</v>
      </c>
      <c r="E26" s="28" t="str">
        <f>"Position du point"</f>
        <v>Position du point</v>
      </c>
      <c r="F26" s="28" t="str">
        <f>"cf figure 1"</f>
        <v>cf figure 1</v>
      </c>
      <c r="G26" s="193"/>
      <c r="I26" s="214"/>
      <c r="J26" s="214"/>
      <c r="K26" s="214"/>
      <c r="L26" s="214"/>
      <c r="M26" s="214"/>
      <c r="N26" s="214"/>
      <c r="O26" s="214"/>
      <c r="P26" s="214"/>
    </row>
    <row r="27" spans="2:23" ht="18" customHeight="1">
      <c r="B27" s="262" cm="1">
        <f t="array" ref="B27">ROW()-ROW(Contour_externe[#Headers])</f>
        <v>3</v>
      </c>
      <c r="C27" s="263">
        <v>6</v>
      </c>
      <c r="D27" s="264">
        <v>1</v>
      </c>
      <c r="E27" s="265" t="str">
        <f>"Position du point"</f>
        <v>Position du point</v>
      </c>
      <c r="F27" s="265" t="str">
        <f>"cf figure 1"</f>
        <v>cf figure 1</v>
      </c>
      <c r="G27" s="266"/>
      <c r="I27" s="214"/>
      <c r="J27" s="214"/>
      <c r="K27" s="214"/>
      <c r="L27" s="214"/>
      <c r="M27" s="214"/>
      <c r="N27" s="214"/>
      <c r="O27" s="214"/>
      <c r="P27" s="214"/>
    </row>
    <row r="28" spans="2:23" ht="18" customHeight="1">
      <c r="B28" s="184">
        <f t="array" ref="B28">ROW()-ROW(Contour_externe[#Headers])</f>
        <v>4</v>
      </c>
      <c r="C28" s="21">
        <v>0</v>
      </c>
      <c r="D28" s="185">
        <v>1</v>
      </c>
      <c r="E28" s="28" t="str">
        <f t="shared" si="0"/>
        <v>Position du point</v>
      </c>
      <c r="F28" s="28" t="str">
        <f t="shared" si="1"/>
        <v>cf figure 1</v>
      </c>
      <c r="G28" s="193"/>
      <c r="I28" s="214"/>
      <c r="J28" s="214"/>
      <c r="L28" s="214"/>
      <c r="M28" s="214"/>
      <c r="N28" s="214"/>
      <c r="O28" s="214"/>
      <c r="P28" s="214"/>
    </row>
    <row r="29" spans="2:23" ht="18" customHeight="1">
      <c r="B29" s="234">
        <f t="array" ref="B29">ROW()-ROW(Contour_externe[#Headers])</f>
        <v>5</v>
      </c>
      <c r="C29" s="235">
        <f>C25</f>
        <v>0</v>
      </c>
      <c r="D29" s="236">
        <f>D25</f>
        <v>0</v>
      </c>
      <c r="E29" s="237" t="s">
        <v>30</v>
      </c>
      <c r="F29" s="238"/>
      <c r="G29" s="239"/>
      <c r="I29" s="214"/>
      <c r="J29" s="214"/>
      <c r="K29" s="214"/>
      <c r="L29" s="214"/>
      <c r="M29" s="214"/>
      <c r="N29" s="214"/>
      <c r="O29" s="214"/>
      <c r="P29" s="214"/>
    </row>
    <row r="30" spans="2:23" ht="18" customHeight="1">
      <c r="B30" s="229"/>
      <c r="C30" s="230"/>
      <c r="D30" s="231"/>
      <c r="E30" s="232"/>
      <c r="F30" s="233"/>
      <c r="G30" s="229"/>
      <c r="I30" s="214"/>
      <c r="J30" s="214"/>
      <c r="K30" s="214"/>
      <c r="L30" s="214"/>
      <c r="M30" s="214"/>
      <c r="N30" s="214"/>
      <c r="O30" s="214"/>
      <c r="P30" s="214"/>
    </row>
    <row r="31" spans="2:23" ht="18" customHeight="1">
      <c r="B31" s="334" t="s">
        <v>185</v>
      </c>
      <c r="C31" s="335"/>
      <c r="D31" s="335"/>
      <c r="E31" s="335"/>
      <c r="F31" s="335"/>
      <c r="G31" s="336"/>
      <c r="I31" s="214"/>
      <c r="L31" s="214"/>
      <c r="M31" s="214"/>
      <c r="N31" s="214"/>
      <c r="O31" s="214"/>
      <c r="P31" s="214"/>
    </row>
    <row r="32" spans="2:23" ht="18" customHeight="1">
      <c r="B32" s="194" t="s">
        <v>184</v>
      </c>
      <c r="C32" s="181"/>
      <c r="D32" s="181"/>
      <c r="E32" s="181"/>
      <c r="F32" s="181"/>
      <c r="G32" s="250"/>
      <c r="L32" s="214"/>
      <c r="M32" s="214"/>
      <c r="N32" s="214"/>
      <c r="O32" s="214"/>
      <c r="P32" s="214"/>
    </row>
    <row r="33" spans="2:73" ht="19.2" customHeight="1">
      <c r="B33" s="206" t="s">
        <v>24</v>
      </c>
      <c r="C33" s="207" t="s">
        <v>25</v>
      </c>
      <c r="D33" s="207" t="s">
        <v>26</v>
      </c>
      <c r="E33" s="208" t="s">
        <v>27</v>
      </c>
      <c r="F33" s="244" t="s">
        <v>28</v>
      </c>
      <c r="G33" s="187" t="s">
        <v>29</v>
      </c>
    </row>
    <row r="34" spans="2:73" ht="18" customHeight="1">
      <c r="B34" s="245" cm="1">
        <f t="array" ref="B34">ROW()-ROW(Contours_internes[#Headers])</f>
        <v>1</v>
      </c>
      <c r="C34" s="246">
        <v>0</v>
      </c>
      <c r="D34" s="247">
        <v>0</v>
      </c>
      <c r="E34" s="248" t="str">
        <f t="shared" ref="E34" si="2">"Position du point"</f>
        <v>Position du point</v>
      </c>
      <c r="F34" s="249" t="str">
        <f t="shared" ref="F34" si="3">"cf figure 1"</f>
        <v>cf figure 1</v>
      </c>
      <c r="G34" s="193"/>
      <c r="K34" s="214"/>
      <c r="L34" s="214"/>
      <c r="M34" s="214"/>
      <c r="N34" s="214"/>
      <c r="O34" s="214"/>
      <c r="P34" s="214"/>
    </row>
    <row r="35" spans="2:73">
      <c r="B35" s="84"/>
      <c r="C35" s="9"/>
      <c r="D35" s="10"/>
      <c r="E35" s="83"/>
      <c r="F35" s="85"/>
      <c r="G35" s="34"/>
      <c r="K35" s="214"/>
      <c r="L35" s="214"/>
      <c r="M35" s="214"/>
      <c r="N35" s="214"/>
      <c r="O35" s="214"/>
      <c r="P35" s="214"/>
    </row>
    <row r="36" spans="2:73" ht="15.6" customHeight="1">
      <c r="B36" s="337" t="s">
        <v>62</v>
      </c>
      <c r="C36" s="338"/>
      <c r="D36" s="338"/>
      <c r="E36" s="338"/>
      <c r="F36" s="338"/>
      <c r="G36" s="339"/>
      <c r="J36" s="214"/>
      <c r="K36" s="214"/>
      <c r="L36" s="214"/>
      <c r="M36" s="214"/>
      <c r="N36" s="214"/>
      <c r="O36" s="214"/>
      <c r="P36" s="214"/>
    </row>
    <row r="37" spans="2:73" ht="15.6" customHeight="1">
      <c r="B37" s="211" t="s">
        <v>63</v>
      </c>
      <c r="C37" s="190"/>
      <c r="D37" s="212"/>
      <c r="E37" s="212"/>
      <c r="F37" s="212"/>
      <c r="G37" s="212"/>
      <c r="I37" s="214"/>
      <c r="J37" s="214"/>
      <c r="K37" s="214"/>
      <c r="L37" s="214"/>
      <c r="M37" s="214"/>
      <c r="N37" s="214"/>
      <c r="O37" s="214"/>
      <c r="P37" s="214"/>
    </row>
    <row r="38" spans="2:73" ht="20.399999999999999" customHeight="1" outlineLevel="1">
      <c r="B38" s="210" t="s">
        <v>68</v>
      </c>
      <c r="C38" s="203" t="s">
        <v>25</v>
      </c>
      <c r="D38" s="203" t="s">
        <v>26</v>
      </c>
      <c r="E38" s="204" t="s">
        <v>64</v>
      </c>
      <c r="F38" s="204" t="s">
        <v>65</v>
      </c>
      <c r="G38" s="205" t="s">
        <v>66</v>
      </c>
      <c r="I38" s="214"/>
      <c r="J38" s="214"/>
      <c r="K38" s="214"/>
      <c r="L38" s="214"/>
      <c r="M38" s="214"/>
      <c r="N38" s="214"/>
      <c r="O38" s="214"/>
      <c r="P38" s="214"/>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row>
    <row r="39" spans="2:73" outlineLevel="1">
      <c r="B39" s="186" t="str">
        <f t="array" ref="B39">"Pieu -" &amp;ROW()-ROW('Input data'!$B$38:$C$38)</f>
        <v>Pieu -1</v>
      </c>
      <c r="C39" s="188">
        <v>1</v>
      </c>
      <c r="D39" s="195">
        <f>0</f>
        <v>0</v>
      </c>
      <c r="E39" s="189">
        <f>C39-C$19/2</f>
        <v>0.78300000000000003</v>
      </c>
      <c r="F39" s="189">
        <f>C39+C$19/2</f>
        <v>1.2170000000000001</v>
      </c>
      <c r="G39" s="191"/>
      <c r="I39" s="214"/>
      <c r="J39" s="214"/>
      <c r="K39" s="214"/>
      <c r="L39" s="214"/>
      <c r="M39" s="214"/>
      <c r="N39" s="214"/>
      <c r="O39" s="214"/>
      <c r="P39" s="214"/>
      <c r="S39" s="15"/>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row>
    <row r="40" spans="2:73" outlineLevel="1">
      <c r="B40" s="186" t="str">
        <f t="array" ref="B40">"Pieu -" &amp;ROW()-ROW('Input data'!$B$38:$C$38)</f>
        <v>Pieu -2</v>
      </c>
      <c r="C40" s="192">
        <v>5</v>
      </c>
      <c r="D40" s="195">
        <v>0</v>
      </c>
      <c r="E40" s="189">
        <f>C40-C$19/2</f>
        <v>4.7830000000000004</v>
      </c>
      <c r="F40" s="189">
        <f>C40+C$19/2</f>
        <v>5.2169999999999996</v>
      </c>
      <c r="G40" s="191"/>
      <c r="I40" s="214"/>
      <c r="J40" s="214"/>
      <c r="K40" s="214"/>
      <c r="L40" s="214"/>
      <c r="M40" s="214"/>
      <c r="N40" s="214"/>
      <c r="O40" s="214"/>
      <c r="P40" s="214"/>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row>
    <row r="41" spans="2:73" s="1" customFormat="1" ht="14.4" customHeight="1">
      <c r="B41" s="240"/>
      <c r="C41" s="322" t="s">
        <v>30</v>
      </c>
      <c r="D41" s="323"/>
      <c r="E41" s="323"/>
      <c r="F41" s="323"/>
      <c r="G41" s="324"/>
      <c r="I41" s="214"/>
      <c r="J41" s="214"/>
      <c r="K41" s="214"/>
      <c r="L41" s="214"/>
      <c r="M41" s="214"/>
      <c r="N41" s="214"/>
      <c r="O41" s="214"/>
      <c r="P41" s="214"/>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row>
    <row r="42" spans="2:73" s="1" customFormat="1" ht="15" customHeight="1">
      <c r="G42" s="34"/>
      <c r="I42" s="214"/>
      <c r="J42" s="214"/>
      <c r="K42" s="214"/>
      <c r="L42" s="214"/>
      <c r="M42" s="214"/>
      <c r="N42" s="214"/>
      <c r="O42" s="214"/>
      <c r="P42" s="214"/>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row>
    <row r="43" spans="2:73" s="1" customFormat="1" ht="15" customHeight="1">
      <c r="G43" s="34"/>
      <c r="I43" s="214"/>
      <c r="J43" s="214"/>
      <c r="K43" s="214"/>
      <c r="L43" s="214"/>
      <c r="M43" s="214"/>
      <c r="N43" s="214"/>
      <c r="O43" s="214"/>
      <c r="P43" s="214"/>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row>
    <row r="44" spans="2:73" s="1" customFormat="1" ht="15" customHeight="1">
      <c r="B44" s="340" t="s">
        <v>67</v>
      </c>
      <c r="C44" s="341"/>
      <c r="D44" s="341"/>
      <c r="E44" s="341"/>
      <c r="F44" s="341"/>
      <c r="G44" s="341"/>
      <c r="I44" s="214"/>
      <c r="J44" s="214"/>
      <c r="K44" s="214"/>
      <c r="L44" s="214"/>
      <c r="M44" s="214"/>
      <c r="N44" s="214"/>
      <c r="O44" s="214"/>
      <c r="P44" s="214"/>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row>
    <row r="45" spans="2:73" ht="15" customHeight="1">
      <c r="B45" s="211" t="s">
        <v>63</v>
      </c>
      <c r="C45" s="190"/>
      <c r="D45" s="212"/>
      <c r="E45" s="212"/>
      <c r="F45" s="212"/>
      <c r="G45" s="212"/>
      <c r="I45" s="214"/>
      <c r="J45" s="214"/>
      <c r="K45" s="214"/>
      <c r="L45" s="214"/>
      <c r="M45" s="214"/>
      <c r="N45" s="214"/>
      <c r="O45" s="214"/>
      <c r="P45" s="214"/>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row>
    <row r="46" spans="2:73" s="1" customFormat="1" ht="15" customHeight="1">
      <c r="B46" s="196" t="s">
        <v>68</v>
      </c>
      <c r="C46" s="197" t="s">
        <v>25</v>
      </c>
      <c r="D46" s="197" t="s">
        <v>26</v>
      </c>
      <c r="E46" s="198" t="s">
        <v>35</v>
      </c>
      <c r="F46" s="199" t="s">
        <v>37</v>
      </c>
      <c r="G46" s="200" t="s">
        <v>69</v>
      </c>
      <c r="I46" s="214"/>
      <c r="J46" s="214"/>
      <c r="K46" s="214"/>
      <c r="L46" s="214"/>
      <c r="M46" s="214"/>
      <c r="N46" s="214"/>
      <c r="O46" s="214"/>
      <c r="P46" s="214"/>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row>
    <row r="47" spans="2:73" s="1" customFormat="1" ht="15" customHeight="1">
      <c r="B47" s="186" t="str">
        <f t="array" ref="B47">"Appui -" &amp;ROW()-ROW(Supports[#Headers])</f>
        <v>Appui -1</v>
      </c>
      <c r="C47" s="21">
        <v>2.4</v>
      </c>
      <c r="D47" s="195">
        <f>C$14</f>
        <v>1</v>
      </c>
      <c r="E47" s="28" t="str">
        <f>"Espacement selon x "</f>
        <v xml:space="preserve">Espacement selon x </v>
      </c>
      <c r="F47" s="201" t="str">
        <f>IF(ABS(C47)&gt;C$12,"Pieu en dehors de la semelle"," ")</f>
        <v xml:space="preserve"> </v>
      </c>
      <c r="G47" s="202"/>
      <c r="I47" s="214"/>
      <c r="J47" s="214"/>
      <c r="K47" s="214"/>
      <c r="L47" s="214"/>
      <c r="M47" s="214"/>
      <c r="N47" s="214"/>
      <c r="O47" s="214"/>
      <c r="P47" s="214"/>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row>
    <row r="48" spans="2:73" s="1" customFormat="1" ht="15" customHeight="1">
      <c r="B48" s="267" t="str" cm="1">
        <f t="array" ref="B48">"Appui -" &amp;ROW()-ROW(Supports[#Headers])</f>
        <v>Appui -2</v>
      </c>
      <c r="C48" s="268">
        <v>3.6</v>
      </c>
      <c r="D48" s="269">
        <f>C$14</f>
        <v>1</v>
      </c>
      <c r="E48" s="270" t="str">
        <f>"Espacement selon x "</f>
        <v xml:space="preserve">Espacement selon x </v>
      </c>
      <c r="F48" s="253"/>
      <c r="G48" s="253"/>
      <c r="I48" s="214"/>
      <c r="J48" s="214"/>
      <c r="K48" s="214"/>
      <c r="L48" s="214"/>
      <c r="M48" s="214"/>
      <c r="N48" s="214"/>
      <c r="O48" s="214"/>
      <c r="P48" s="214"/>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row>
    <row r="49" spans="2:73" s="1" customFormat="1" ht="15" customHeight="1">
      <c r="B49" s="241"/>
      <c r="C49" s="326" t="s">
        <v>30</v>
      </c>
      <c r="D49" s="327"/>
      <c r="E49" s="327"/>
      <c r="F49" s="327"/>
      <c r="G49" s="328"/>
      <c r="I49" s="242"/>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row>
    <row r="50" spans="2:73" s="1" customFormat="1" ht="21.6" customHeight="1">
      <c r="G50" s="34"/>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row>
    <row r="51" spans="2:73" s="1" customFormat="1" ht="21.6" customHeight="1" thickBot="1">
      <c r="B51" s="172" t="s">
        <v>129</v>
      </c>
      <c r="C51" s="173"/>
      <c r="D51" s="173"/>
      <c r="E51" s="174"/>
      <c r="F51" s="175" t="s">
        <v>130</v>
      </c>
      <c r="G51" s="175"/>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row>
    <row r="52" spans="2:73" s="1" customFormat="1" ht="21.6" customHeight="1">
      <c r="B52" s="215" t="s">
        <v>131</v>
      </c>
      <c r="C52" s="216" t="s">
        <v>132</v>
      </c>
      <c r="D52" s="217" t="s">
        <v>133</v>
      </c>
      <c r="E52" s="218" t="s">
        <v>134</v>
      </c>
      <c r="F52" s="34"/>
      <c r="G52" s="34"/>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row>
    <row r="53" spans="2:73" s="1" customFormat="1" ht="21.6" customHeight="1">
      <c r="B53" s="170"/>
      <c r="C53" s="251" t="s">
        <v>135</v>
      </c>
      <c r="D53" s="251" t="s">
        <v>136</v>
      </c>
      <c r="E53" s="251" t="s">
        <v>137</v>
      </c>
      <c r="F53" s="34"/>
      <c r="G53" s="34"/>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row>
    <row r="54" spans="2:73" s="1" customFormat="1" ht="21.6" customHeight="1">
      <c r="B54" s="220" t="str">
        <f>"Pieu -" &amp;ROW()-ROW('Input data'!B$53)</f>
        <v>Pieu -1</v>
      </c>
      <c r="C54" s="171">
        <v>-100</v>
      </c>
      <c r="D54" s="171">
        <v>0</v>
      </c>
      <c r="E54" s="171">
        <f>0</f>
        <v>0</v>
      </c>
      <c r="G54" s="34"/>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row>
    <row r="55" spans="2:73" s="1" customFormat="1" ht="21.6" customHeight="1">
      <c r="B55" s="220" t="str">
        <f>"Pieu -" &amp;ROW()-ROW('Input data'!B$53)</f>
        <v>Pieu -2</v>
      </c>
      <c r="C55" s="171">
        <v>-100</v>
      </c>
      <c r="D55" s="171">
        <f>0</f>
        <v>0</v>
      </c>
      <c r="E55" s="171">
        <f>0</f>
        <v>0</v>
      </c>
      <c r="G55" s="34"/>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row>
    <row r="56" spans="2:73" s="1" customFormat="1" ht="21.6" customHeight="1">
      <c r="B56" s="314" t="s">
        <v>30</v>
      </c>
      <c r="C56" s="315"/>
      <c r="D56" s="315"/>
      <c r="E56" s="316"/>
      <c r="F56" s="219"/>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row>
    <row r="57" spans="2:73" s="1" customFormat="1" ht="21.6" customHeight="1">
      <c r="G57" s="34"/>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row>
    <row r="58" spans="2:73" s="1" customFormat="1" ht="22.95" customHeight="1">
      <c r="B58" s="167" t="s">
        <v>70</v>
      </c>
      <c r="C58" s="168"/>
      <c r="D58" s="168"/>
      <c r="E58" s="168"/>
      <c r="F58" s="168"/>
      <c r="G58" s="169"/>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row>
    <row r="59" spans="2:73" s="1" customFormat="1" ht="15" customHeight="1">
      <c r="B59" s="67" t="s">
        <v>32</v>
      </c>
      <c r="C59" s="68" t="s">
        <v>33</v>
      </c>
      <c r="D59" s="68" t="s">
        <v>71</v>
      </c>
      <c r="E59" s="70" t="s">
        <v>35</v>
      </c>
      <c r="F59" s="59" t="s">
        <v>28</v>
      </c>
      <c r="G59" s="69" t="s">
        <v>37</v>
      </c>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row>
    <row r="60" spans="2:73" s="1" customFormat="1" ht="33.6" customHeight="1">
      <c r="B60" s="51" t="s">
        <v>72</v>
      </c>
      <c r="C60" s="22">
        <v>30</v>
      </c>
      <c r="D60" s="19" t="s">
        <v>73</v>
      </c>
      <c r="E60" s="28" t="s">
        <v>74</v>
      </c>
      <c r="F60" s="39" t="s">
        <v>75</v>
      </c>
      <c r="G60" s="62"/>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row>
    <row r="61" spans="2:73" s="1" customFormat="1" ht="30" customHeight="1">
      <c r="B61" s="51" t="s">
        <v>76</v>
      </c>
      <c r="C61" s="22">
        <v>2.9</v>
      </c>
      <c r="D61" s="19" t="s">
        <v>73</v>
      </c>
      <c r="E61" s="28" t="s">
        <v>77</v>
      </c>
      <c r="F61" s="39" t="s">
        <v>75</v>
      </c>
      <c r="G61" s="62"/>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row>
    <row r="62" spans="2:73" s="1" customFormat="1" ht="25.95" customHeight="1">
      <c r="B62" s="51" t="s">
        <v>78</v>
      </c>
      <c r="C62" s="22">
        <v>500</v>
      </c>
      <c r="D62" s="19" t="s">
        <v>73</v>
      </c>
      <c r="E62" s="28" t="s">
        <v>79</v>
      </c>
      <c r="F62" s="39" t="s">
        <v>80</v>
      </c>
      <c r="G62" s="62"/>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row>
    <row r="63" spans="2:73" s="1" customFormat="1" ht="14.4" customHeight="1">
      <c r="B63" s="34"/>
      <c r="C63" s="8"/>
      <c r="D63" s="8"/>
      <c r="E63" s="29"/>
      <c r="F63" s="38"/>
      <c r="G63" s="34"/>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row>
    <row r="64" spans="2:73" s="1" customFormat="1" ht="14.4" customHeight="1">
      <c r="B64" s="82" t="s">
        <v>81</v>
      </c>
      <c r="C64" s="82"/>
      <c r="D64" s="82"/>
      <c r="E64" s="82"/>
      <c r="F64" s="82"/>
      <c r="G64" s="82"/>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row>
    <row r="65" spans="2:73" s="1" customFormat="1" ht="14.4" customHeight="1">
      <c r="B65" s="58" t="s">
        <v>32</v>
      </c>
      <c r="C65" s="56" t="s">
        <v>33</v>
      </c>
      <c r="D65" s="56" t="s">
        <v>71</v>
      </c>
      <c r="E65" s="57" t="s">
        <v>35</v>
      </c>
      <c r="F65" s="59" t="s">
        <v>28</v>
      </c>
      <c r="G65" s="58" t="s">
        <v>37</v>
      </c>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row>
    <row r="66" spans="2:73" s="1" customFormat="1" ht="14.4" customHeight="1">
      <c r="B66" s="60" t="s">
        <v>82</v>
      </c>
      <c r="C66" s="21">
        <v>1.5</v>
      </c>
      <c r="D66" s="19" t="s">
        <v>83</v>
      </c>
      <c r="E66" s="42" t="s">
        <v>84</v>
      </c>
      <c r="F66" s="43" t="s">
        <v>85</v>
      </c>
      <c r="G66" s="46"/>
    </row>
    <row r="67" spans="2:73" s="1" customFormat="1" ht="14.4" customHeight="1">
      <c r="B67" s="60" t="s">
        <v>86</v>
      </c>
      <c r="C67" s="21">
        <v>1.3</v>
      </c>
      <c r="D67" s="19" t="s">
        <v>83</v>
      </c>
      <c r="E67" s="42" t="s">
        <v>87</v>
      </c>
      <c r="F67" s="43" t="s">
        <v>85</v>
      </c>
      <c r="G67" s="46"/>
    </row>
    <row r="68" spans="2:73" s="1" customFormat="1" ht="25.2" customHeight="1">
      <c r="B68" s="60" t="s">
        <v>88</v>
      </c>
      <c r="C68" s="21">
        <v>1.2</v>
      </c>
      <c r="D68" s="19" t="s">
        <v>83</v>
      </c>
      <c r="E68" s="42" t="s">
        <v>89</v>
      </c>
      <c r="F68" s="43" t="s">
        <v>85</v>
      </c>
      <c r="G68" s="46"/>
    </row>
    <row r="69" spans="2:73" s="1" customFormat="1" ht="25.2" customHeight="1">
      <c r="B69" s="60" t="s">
        <v>90</v>
      </c>
      <c r="C69" s="21">
        <f>1/0.6</f>
        <v>1.6666666666666667</v>
      </c>
      <c r="D69" s="19" t="s">
        <v>83</v>
      </c>
      <c r="E69" s="42" t="s">
        <v>91</v>
      </c>
      <c r="F69" s="43" t="s">
        <v>85</v>
      </c>
      <c r="G69" s="46"/>
    </row>
    <row r="70" spans="2:73" s="1" customFormat="1" ht="25.2" customHeight="1">
      <c r="B70" s="60" t="s">
        <v>92</v>
      </c>
      <c r="C70" s="21">
        <v>1.1499999999999999</v>
      </c>
      <c r="D70" s="19" t="s">
        <v>83</v>
      </c>
      <c r="E70" s="42" t="s">
        <v>93</v>
      </c>
      <c r="F70" s="43" t="s">
        <v>85</v>
      </c>
      <c r="G70" s="46"/>
    </row>
    <row r="71" spans="2:73" s="1" customFormat="1" ht="25.2" customHeight="1">
      <c r="B71" s="60" t="s">
        <v>94</v>
      </c>
      <c r="C71" s="21">
        <v>1</v>
      </c>
      <c r="D71" s="19" t="s">
        <v>83</v>
      </c>
      <c r="E71" s="42" t="s">
        <v>95</v>
      </c>
      <c r="F71" s="43" t="s">
        <v>85</v>
      </c>
      <c r="G71" s="46"/>
    </row>
    <row r="72" spans="2:73" s="1" customFormat="1" ht="25.2" customHeight="1">
      <c r="B72" s="60" t="s">
        <v>96</v>
      </c>
      <c r="C72" s="21">
        <v>1</v>
      </c>
      <c r="D72" s="19" t="s">
        <v>83</v>
      </c>
      <c r="E72" s="42" t="s">
        <v>97</v>
      </c>
      <c r="F72" s="43" t="s">
        <v>85</v>
      </c>
      <c r="G72" s="46"/>
      <c r="Z72" s="17"/>
      <c r="AA72" s="15"/>
      <c r="AB72" s="15"/>
      <c r="AC72" s="15"/>
      <c r="AD72" s="15"/>
    </row>
    <row r="73" spans="2:73" s="1" customFormat="1" ht="25.2" customHeight="1">
      <c r="B73" s="60" t="s">
        <v>98</v>
      </c>
      <c r="C73" s="21">
        <f>1/0.8</f>
        <v>1.25</v>
      </c>
      <c r="D73" s="19" t="s">
        <v>83</v>
      </c>
      <c r="E73" s="42" t="s">
        <v>99</v>
      </c>
      <c r="F73" s="43" t="s">
        <v>85</v>
      </c>
      <c r="G73" s="46"/>
      <c r="Z73" s="17"/>
      <c r="AA73" s="15"/>
      <c r="AB73" s="15"/>
      <c r="AC73" s="15"/>
      <c r="AD73" s="15"/>
    </row>
    <row r="74" spans="2:73" s="1" customFormat="1" ht="25.2" customHeight="1">
      <c r="B74" s="71" t="s">
        <v>100</v>
      </c>
      <c r="C74" s="23">
        <v>1</v>
      </c>
      <c r="D74" s="20" t="s">
        <v>83</v>
      </c>
      <c r="E74" s="20" t="s">
        <v>101</v>
      </c>
      <c r="F74" s="43" t="s">
        <v>102</v>
      </c>
      <c r="G74" s="72"/>
      <c r="Z74" s="17"/>
      <c r="AA74" s="15"/>
      <c r="AB74" s="15"/>
      <c r="AC74" s="15"/>
      <c r="AD74" s="15"/>
    </row>
    <row r="75" spans="2:73" s="1" customFormat="1" ht="16.2" customHeight="1">
      <c r="B75" s="35"/>
      <c r="C75" s="9"/>
      <c r="D75" s="10"/>
      <c r="E75" s="30"/>
      <c r="F75" s="40"/>
      <c r="G75" s="35"/>
      <c r="Z75" s="17"/>
      <c r="AA75" s="15"/>
      <c r="AB75" s="15"/>
      <c r="AC75" s="15"/>
      <c r="AD75" s="15"/>
    </row>
    <row r="76" spans="2:73" s="1" customFormat="1" ht="16.2" customHeight="1">
      <c r="B76" s="82" t="s">
        <v>103</v>
      </c>
      <c r="C76" s="82"/>
      <c r="D76" s="82"/>
      <c r="E76" s="82"/>
      <c r="F76" s="82"/>
      <c r="G76" s="82"/>
      <c r="Z76" s="17"/>
      <c r="AA76" s="15"/>
      <c r="AB76" s="15"/>
      <c r="AC76" s="15"/>
      <c r="AD76" s="15"/>
    </row>
    <row r="77" spans="2:73" s="1" customFormat="1" ht="15" customHeight="1">
      <c r="B77" s="58" t="s">
        <v>32</v>
      </c>
      <c r="C77" s="56" t="s">
        <v>33</v>
      </c>
      <c r="D77" s="56" t="s">
        <v>71</v>
      </c>
      <c r="E77" s="57" t="s">
        <v>35</v>
      </c>
      <c r="F77" s="59" t="s">
        <v>28</v>
      </c>
      <c r="G77" s="58" t="s">
        <v>37</v>
      </c>
      <c r="Z77" s="17"/>
      <c r="AA77" s="15"/>
      <c r="AB77" s="15"/>
      <c r="AC77" s="15"/>
      <c r="AD77" s="15"/>
    </row>
    <row r="78" spans="2:73" s="1" customFormat="1" ht="28.95" customHeight="1">
      <c r="B78" s="60" t="s">
        <v>104</v>
      </c>
      <c r="C78" s="21">
        <f>C$74*C$60/C66</f>
        <v>20</v>
      </c>
      <c r="D78" s="19" t="s">
        <v>73</v>
      </c>
      <c r="E78" s="42" t="s">
        <v>105</v>
      </c>
      <c r="F78" s="43" t="s">
        <v>106</v>
      </c>
      <c r="G78" s="46" t="s">
        <v>107</v>
      </c>
      <c r="Z78" s="17"/>
      <c r="AA78" s="15"/>
      <c r="AB78" s="15"/>
      <c r="AC78" s="15"/>
      <c r="AD78" s="15"/>
    </row>
    <row r="79" spans="2:73" s="1" customFormat="1" ht="25.95" customHeight="1">
      <c r="B79" s="60" t="s">
        <v>108</v>
      </c>
      <c r="C79" s="21">
        <f>C$60/C67*C$74</f>
        <v>23.076923076923077</v>
      </c>
      <c r="D79" s="19" t="s">
        <v>73</v>
      </c>
      <c r="E79" s="42" t="s">
        <v>109</v>
      </c>
      <c r="F79" s="43" t="s">
        <v>106</v>
      </c>
      <c r="G79" s="46" t="s">
        <v>110</v>
      </c>
      <c r="Z79" s="17"/>
      <c r="AA79" s="15"/>
      <c r="AB79" s="15"/>
      <c r="AC79" s="15"/>
      <c r="AD79" s="15"/>
    </row>
    <row r="80" spans="2:73" s="1" customFormat="1" ht="27.75" customHeight="1">
      <c r="B80" s="60" t="s">
        <v>111</v>
      </c>
      <c r="C80" s="21">
        <f>C$60/C68*C$74</f>
        <v>25</v>
      </c>
      <c r="D80" s="19" t="s">
        <v>73</v>
      </c>
      <c r="E80" s="42" t="s">
        <v>112</v>
      </c>
      <c r="F80" s="43" t="s">
        <v>106</v>
      </c>
      <c r="G80" s="46" t="s">
        <v>113</v>
      </c>
      <c r="Z80" s="17"/>
      <c r="AA80" s="15"/>
      <c r="AB80" s="15"/>
      <c r="AC80" s="15"/>
      <c r="AD80" s="15"/>
    </row>
    <row r="81" spans="2:30" s="1" customFormat="1" ht="32.4" customHeight="1">
      <c r="B81" s="60" t="s">
        <v>114</v>
      </c>
      <c r="C81" s="21">
        <f>C$60/C69*C$74</f>
        <v>18</v>
      </c>
      <c r="D81" s="19" t="s">
        <v>73</v>
      </c>
      <c r="E81" s="42" t="s">
        <v>115</v>
      </c>
      <c r="F81" s="43" t="s">
        <v>106</v>
      </c>
      <c r="G81" s="46"/>
      <c r="Z81" s="17"/>
      <c r="AA81" s="15"/>
      <c r="AB81" s="15"/>
      <c r="AC81" s="15"/>
      <c r="AD81" s="15"/>
    </row>
    <row r="82" spans="2:30" s="1" customFormat="1" ht="30.6" customHeight="1">
      <c r="B82" s="35"/>
      <c r="C82" s="9"/>
      <c r="D82" s="10"/>
      <c r="E82" s="30"/>
      <c r="F82" s="40"/>
      <c r="G82" s="35"/>
      <c r="Z82" s="17"/>
      <c r="AA82" s="15"/>
      <c r="AB82" s="15"/>
      <c r="AC82" s="15"/>
      <c r="AD82" s="15"/>
    </row>
    <row r="83" spans="2:30" s="1" customFormat="1" ht="15" customHeight="1">
      <c r="B83" s="82" t="s">
        <v>116</v>
      </c>
      <c r="C83" s="82"/>
      <c r="D83" s="82"/>
      <c r="E83" s="82"/>
      <c r="F83" s="82"/>
      <c r="G83" s="82"/>
      <c r="Z83" s="17"/>
      <c r="AA83" s="15"/>
      <c r="AB83" s="15"/>
      <c r="AC83" s="15"/>
      <c r="AD83" s="15"/>
    </row>
    <row r="84" spans="2:30" s="1" customFormat="1" ht="15" customHeight="1">
      <c r="B84" s="58" t="s">
        <v>32</v>
      </c>
      <c r="C84" s="56" t="s">
        <v>33</v>
      </c>
      <c r="D84" s="56" t="s">
        <v>71</v>
      </c>
      <c r="E84" s="57" t="s">
        <v>35</v>
      </c>
      <c r="F84" s="58" t="s">
        <v>37</v>
      </c>
      <c r="G84" s="59" t="s">
        <v>28</v>
      </c>
      <c r="Z84" s="17"/>
      <c r="AA84" s="15"/>
      <c r="AB84" s="15"/>
      <c r="AC84" s="15"/>
      <c r="AD84" s="15"/>
    </row>
    <row r="85" spans="2:30" s="1" customFormat="1" ht="28.95" customHeight="1">
      <c r="B85" s="60" t="s">
        <v>117</v>
      </c>
      <c r="C85" s="21">
        <f>C$62/C70</f>
        <v>434.78260869565219</v>
      </c>
      <c r="D85" s="19" t="s">
        <v>73</v>
      </c>
      <c r="E85" s="42" t="s">
        <v>118</v>
      </c>
      <c r="F85" s="61" t="s">
        <v>119</v>
      </c>
      <c r="G85" s="43" t="s">
        <v>120</v>
      </c>
      <c r="Z85" s="17"/>
      <c r="AA85" s="15"/>
      <c r="AB85" s="15"/>
      <c r="AC85" s="15"/>
      <c r="AD85" s="15"/>
    </row>
    <row r="86" spans="2:30" s="1" customFormat="1" ht="28.2" customHeight="1">
      <c r="B86" s="60" t="s">
        <v>121</v>
      </c>
      <c r="C86" s="21">
        <f>C$62/C71</f>
        <v>500</v>
      </c>
      <c r="D86" s="19" t="s">
        <v>73</v>
      </c>
      <c r="E86" s="42" t="s">
        <v>122</v>
      </c>
      <c r="F86" s="61" t="s">
        <v>123</v>
      </c>
      <c r="G86" s="43" t="s">
        <v>120</v>
      </c>
      <c r="Z86" s="17"/>
      <c r="AA86" s="15"/>
      <c r="AB86" s="15"/>
      <c r="AC86" s="15"/>
      <c r="AD86" s="15"/>
    </row>
    <row r="87" spans="2:30" s="1" customFormat="1" ht="32.4" customHeight="1">
      <c r="B87" s="60" t="s">
        <v>124</v>
      </c>
      <c r="C87" s="21">
        <f>C$62/C72</f>
        <v>500</v>
      </c>
      <c r="D87" s="19" t="s">
        <v>73</v>
      </c>
      <c r="E87" s="42" t="s">
        <v>125</v>
      </c>
      <c r="F87" s="61" t="s">
        <v>126</v>
      </c>
      <c r="G87" s="43" t="s">
        <v>120</v>
      </c>
      <c r="Z87" s="17"/>
      <c r="AA87" s="15"/>
      <c r="AB87" s="15"/>
      <c r="AC87" s="15"/>
      <c r="AD87" s="15"/>
    </row>
    <row r="88" spans="2:30" s="1" customFormat="1" ht="27" customHeight="1">
      <c r="B88" s="60" t="s">
        <v>127</v>
      </c>
      <c r="C88" s="21">
        <f>C$62/C73</f>
        <v>400</v>
      </c>
      <c r="D88" s="19" t="s">
        <v>73</v>
      </c>
      <c r="E88" s="42" t="s">
        <v>128</v>
      </c>
      <c r="F88" s="46"/>
      <c r="G88" s="43" t="s">
        <v>120</v>
      </c>
      <c r="Z88" s="17"/>
      <c r="AA88" s="15"/>
      <c r="AB88" s="15"/>
      <c r="AC88" s="15"/>
      <c r="AD88" s="15"/>
    </row>
    <row r="89" spans="2:30" s="1" customFormat="1" ht="40.200000000000003" customHeight="1">
      <c r="B89" s="33"/>
      <c r="E89" s="27"/>
      <c r="F89" s="37"/>
      <c r="G89" s="33"/>
      <c r="Z89" s="17"/>
      <c r="AA89" s="15"/>
      <c r="AB89" s="15"/>
      <c r="AC89" s="15"/>
      <c r="AD89" s="15"/>
    </row>
    <row r="90" spans="2:30" s="1" customFormat="1" ht="24.6" customHeight="1">
      <c r="Z90" s="17"/>
      <c r="AA90" s="15"/>
      <c r="AB90" s="15"/>
      <c r="AC90" s="15"/>
      <c r="AD90" s="15"/>
    </row>
    <row r="91" spans="2:30" s="1" customFormat="1" ht="24.6" customHeight="1">
      <c r="Z91" s="17"/>
      <c r="AA91" s="15"/>
      <c r="AB91" s="15"/>
      <c r="AC91" s="15"/>
      <c r="AD91" s="15"/>
    </row>
    <row r="92" spans="2:30" s="1" customFormat="1">
      <c r="H92" s="34"/>
      <c r="Z92" s="17"/>
      <c r="AA92" s="15"/>
      <c r="AB92" s="15"/>
      <c r="AC92" s="15"/>
      <c r="AD92" s="15"/>
    </row>
    <row r="93" spans="2:30" s="1" customFormat="1">
      <c r="H93" s="34"/>
      <c r="Z93" s="17"/>
      <c r="AA93" s="15"/>
      <c r="AB93" s="15"/>
      <c r="AC93" s="15"/>
      <c r="AD93" s="15"/>
    </row>
    <row r="94" spans="2:30" s="1" customFormat="1">
      <c r="H94" s="34"/>
      <c r="Z94" s="17"/>
      <c r="AA94" s="15"/>
      <c r="AB94" s="15"/>
      <c r="AC94" s="15"/>
      <c r="AD94" s="15"/>
    </row>
    <row r="95" spans="2:30" s="1" customFormat="1">
      <c r="Z95" s="17"/>
      <c r="AA95" s="15"/>
      <c r="AB95" s="15"/>
      <c r="AC95" s="15"/>
      <c r="AD95" s="15"/>
    </row>
    <row r="96" spans="2:30" s="1" customFormat="1">
      <c r="B96" s="34"/>
      <c r="C96" s="34"/>
      <c r="D96" s="34"/>
      <c r="E96" s="34"/>
      <c r="F96" s="34"/>
      <c r="Z96" s="17"/>
      <c r="AA96" s="15"/>
      <c r="AB96" s="15"/>
      <c r="AC96" s="15"/>
      <c r="AD96" s="15"/>
    </row>
    <row r="97" spans="2:815" s="1" customFormat="1">
      <c r="B97" s="34"/>
      <c r="C97" s="34"/>
      <c r="D97" s="34"/>
      <c r="E97" s="34"/>
      <c r="F97" s="34"/>
      <c r="Q97" s="17"/>
      <c r="S97" s="15"/>
      <c r="T97" s="15"/>
      <c r="U97" s="15"/>
    </row>
    <row r="98" spans="2:815" s="1" customFormat="1">
      <c r="B98" s="34"/>
      <c r="C98" s="34"/>
      <c r="D98" s="34"/>
      <c r="E98" s="34"/>
      <c r="F98" s="34"/>
      <c r="Q98" s="17"/>
      <c r="S98" s="15"/>
      <c r="T98" s="15"/>
      <c r="U98" s="15"/>
    </row>
    <row r="99" spans="2:815" s="1" customFormat="1">
      <c r="B99" s="86"/>
      <c r="C99" s="15"/>
      <c r="D99" s="89"/>
      <c r="E99" s="87"/>
      <c r="F99" s="90"/>
      <c r="Q99" s="17"/>
      <c r="R99" s="15"/>
      <c r="S99" s="15"/>
      <c r="T99" s="15"/>
      <c r="U99" s="15"/>
    </row>
    <row r="100" spans="2:815" s="1" customFormat="1">
      <c r="B100" s="86"/>
      <c r="C100" s="15"/>
      <c r="D100" s="89"/>
      <c r="E100" s="87"/>
      <c r="F100" s="90"/>
      <c r="G100" s="37"/>
      <c r="Q100" s="17"/>
      <c r="R100" s="15"/>
      <c r="S100" s="15"/>
      <c r="T100" s="15"/>
      <c r="U100" s="15"/>
    </row>
    <row r="101" spans="2:815" s="1" customFormat="1">
      <c r="Q101" s="17"/>
      <c r="R101" s="15"/>
      <c r="S101" s="15"/>
      <c r="T101" s="15"/>
      <c r="U101" s="15"/>
    </row>
    <row r="102" spans="2:815" s="1" customFormat="1">
      <c r="B102" s="129"/>
      <c r="C102" s="131"/>
      <c r="D102" s="130"/>
      <c r="E102" s="129"/>
      <c r="F102" s="129"/>
      <c r="G102" s="129"/>
      <c r="Q102" s="17"/>
      <c r="R102" s="15"/>
      <c r="S102" s="15"/>
      <c r="T102" s="15"/>
      <c r="U102" s="15"/>
    </row>
    <row r="103" spans="2:815">
      <c r="B103" s="86"/>
      <c r="C103" s="15"/>
      <c r="D103" s="89"/>
      <c r="E103" s="87"/>
      <c r="F103" s="90"/>
      <c r="G103" s="37"/>
      <c r="Q103" s="17"/>
      <c r="R103" s="15"/>
      <c r="S103" s="15"/>
      <c r="T103" s="15"/>
      <c r="U103" s="15"/>
      <c r="AEA103"/>
      <c r="AEB103"/>
      <c r="AEC103"/>
      <c r="AED103"/>
      <c r="AEE103"/>
      <c r="AEF103"/>
      <c r="AEG103"/>
      <c r="AEH103"/>
      <c r="AEI103"/>
    </row>
    <row r="104" spans="2:815">
      <c r="B104" s="86"/>
      <c r="C104" s="15"/>
      <c r="D104" s="89"/>
      <c r="E104" s="87"/>
      <c r="F104" s="90"/>
      <c r="G104" s="37"/>
      <c r="Q104" s="17"/>
      <c r="R104" s="15"/>
      <c r="S104" s="15"/>
      <c r="T104" s="15"/>
      <c r="U104" s="15"/>
      <c r="AEA104"/>
      <c r="AEB104"/>
      <c r="AEC104"/>
      <c r="AED104"/>
      <c r="AEE104"/>
      <c r="AEF104"/>
      <c r="AEG104"/>
      <c r="AEH104"/>
      <c r="AEI104"/>
    </row>
    <row r="105" spans="2:815" ht="43.2" customHeight="1">
      <c r="B105" s="1"/>
      <c r="C105" s="1"/>
      <c r="D105" s="1"/>
      <c r="E105" s="1"/>
      <c r="F105" s="1"/>
      <c r="G105" s="1"/>
      <c r="Q105" s="17"/>
      <c r="R105" s="15"/>
      <c r="S105" s="15"/>
      <c r="T105" s="15"/>
      <c r="U105" s="15"/>
      <c r="AEA105"/>
      <c r="AEB105"/>
      <c r="AEC105"/>
      <c r="AED105"/>
      <c r="AEE105"/>
      <c r="AEF105"/>
      <c r="AEG105"/>
      <c r="AEH105"/>
      <c r="AEI105"/>
    </row>
    <row r="106" spans="2:815">
      <c r="B106" s="129"/>
      <c r="C106" s="131"/>
      <c r="D106" s="130"/>
      <c r="E106" s="129"/>
      <c r="F106" s="129"/>
      <c r="G106" s="129"/>
      <c r="Q106" s="17"/>
      <c r="R106" s="15"/>
      <c r="S106" s="15"/>
      <c r="T106" s="15"/>
      <c r="U106" s="15"/>
      <c r="AEA106"/>
      <c r="AEB106"/>
      <c r="AEC106"/>
      <c r="AED106"/>
      <c r="AEE106"/>
      <c r="AEF106"/>
      <c r="AEG106"/>
      <c r="AEH106"/>
      <c r="AEI106"/>
    </row>
    <row r="107" spans="2:815">
      <c r="B107" s="86"/>
      <c r="C107" s="15"/>
      <c r="D107" s="89"/>
      <c r="E107" s="87"/>
      <c r="F107" s="90"/>
      <c r="G107" s="37"/>
      <c r="Q107" s="17"/>
      <c r="R107" s="15"/>
      <c r="S107" s="15"/>
      <c r="T107" s="15"/>
      <c r="U107" s="15"/>
      <c r="AEA107"/>
      <c r="AEB107"/>
      <c r="AEC107"/>
      <c r="AED107"/>
      <c r="AEE107"/>
      <c r="AEF107"/>
      <c r="AEG107"/>
      <c r="AEH107"/>
      <c r="AEI107"/>
    </row>
    <row r="108" spans="2:815">
      <c r="B108" s="86"/>
      <c r="C108" s="15"/>
      <c r="D108" s="89"/>
      <c r="E108" s="87"/>
      <c r="F108" s="90"/>
      <c r="G108" s="37"/>
      <c r="Q108" s="17"/>
      <c r="R108" s="15"/>
      <c r="S108" s="15"/>
      <c r="T108" s="15"/>
      <c r="U108" s="15"/>
      <c r="AEA108"/>
      <c r="AEB108"/>
      <c r="AEC108"/>
      <c r="AED108"/>
      <c r="AEE108"/>
      <c r="AEF108"/>
      <c r="AEG108"/>
      <c r="AEH108"/>
      <c r="AEI108"/>
    </row>
    <row r="109" spans="2:815" ht="39.6" customHeight="1">
      <c r="B109" s="33"/>
      <c r="C109" s="1"/>
      <c r="D109" s="89"/>
      <c r="E109" s="27"/>
      <c r="F109" s="37"/>
      <c r="G109" s="33"/>
      <c r="Q109" s="17"/>
      <c r="R109" s="15"/>
      <c r="S109" s="15"/>
      <c r="T109" s="15"/>
      <c r="U109" s="15"/>
      <c r="AEA109"/>
      <c r="AEB109"/>
      <c r="AEC109"/>
      <c r="AED109"/>
      <c r="AEE109"/>
      <c r="AEF109"/>
      <c r="AEG109"/>
      <c r="AEH109"/>
      <c r="AEI109"/>
    </row>
    <row r="110" spans="2:815" ht="40.950000000000003" customHeight="1">
      <c r="B110" s="33"/>
      <c r="C110" s="1"/>
      <c r="D110" s="89"/>
      <c r="E110" s="27"/>
      <c r="F110" s="37"/>
      <c r="G110" s="33"/>
      <c r="Q110" s="17"/>
      <c r="R110" s="15"/>
      <c r="S110" s="15"/>
      <c r="T110" s="15"/>
      <c r="U110" s="15"/>
      <c r="AEA110"/>
      <c r="AEB110"/>
      <c r="AEC110"/>
      <c r="AED110"/>
      <c r="AEE110"/>
      <c r="AEF110"/>
      <c r="AEG110"/>
      <c r="AEH110"/>
      <c r="AEI110"/>
    </row>
    <row r="111" spans="2:815" ht="15" customHeight="1">
      <c r="B111" s="33"/>
      <c r="C111" s="1"/>
      <c r="D111" s="89"/>
      <c r="E111" s="27"/>
      <c r="F111" s="37"/>
      <c r="G111" s="33"/>
      <c r="Q111" s="17"/>
      <c r="R111" s="15"/>
      <c r="S111" s="15"/>
      <c r="T111" s="15"/>
      <c r="U111" s="15"/>
      <c r="AEA111"/>
      <c r="AEB111"/>
      <c r="AEC111"/>
      <c r="AED111"/>
      <c r="AEE111"/>
      <c r="AEF111"/>
      <c r="AEG111"/>
      <c r="AEH111"/>
      <c r="AEI111"/>
    </row>
    <row r="112" spans="2:815">
      <c r="B112" s="33"/>
      <c r="C112" s="1"/>
      <c r="D112" s="89"/>
      <c r="E112" s="27"/>
      <c r="F112" s="37"/>
      <c r="G112" s="33"/>
      <c r="Q112" s="17"/>
      <c r="R112" s="15"/>
      <c r="S112" s="15"/>
      <c r="T112" s="15"/>
      <c r="U112" s="15"/>
      <c r="AEA112"/>
      <c r="AEB112"/>
      <c r="AEC112"/>
      <c r="AED112"/>
      <c r="AEE112"/>
      <c r="AEF112"/>
      <c r="AEG112"/>
      <c r="AEH112"/>
      <c r="AEI112"/>
    </row>
    <row r="113" spans="2:815">
      <c r="B113" s="33"/>
      <c r="C113" s="1"/>
      <c r="D113" s="89"/>
      <c r="E113" s="27"/>
      <c r="F113" s="37"/>
      <c r="G113" s="33"/>
      <c r="Q113" s="17"/>
      <c r="R113" s="15"/>
      <c r="S113" s="15"/>
      <c r="T113" s="15"/>
      <c r="U113" s="15"/>
      <c r="AEA113"/>
      <c r="AEB113"/>
      <c r="AEC113"/>
      <c r="AED113"/>
      <c r="AEE113"/>
      <c r="AEF113"/>
      <c r="AEG113"/>
      <c r="AEH113"/>
      <c r="AEI113"/>
    </row>
    <row r="114" spans="2:815">
      <c r="B114" s="33"/>
      <c r="C114" s="1"/>
      <c r="D114" s="89"/>
      <c r="E114" s="27"/>
      <c r="F114" s="37"/>
      <c r="G114" s="33"/>
      <c r="Z114" s="17"/>
      <c r="AA114" s="15"/>
      <c r="AB114" s="15"/>
      <c r="AC114" s="15"/>
      <c r="AD114" s="15"/>
    </row>
    <row r="115" spans="2:815">
      <c r="B115" s="33"/>
      <c r="C115" s="1"/>
      <c r="D115" s="89"/>
      <c r="E115" s="27"/>
      <c r="F115" s="37"/>
      <c r="G115" s="33"/>
      <c r="Z115" s="17"/>
      <c r="AA115" s="15"/>
      <c r="AB115" s="15"/>
      <c r="AC115" s="15"/>
      <c r="AD115" s="15"/>
    </row>
    <row r="116" spans="2:815">
      <c r="B116" s="33"/>
      <c r="C116" s="1"/>
      <c r="D116" s="89"/>
      <c r="E116" s="27"/>
      <c r="F116" s="37"/>
      <c r="G116" s="33"/>
      <c r="Z116" s="17"/>
      <c r="AA116" s="15"/>
      <c r="AB116" s="15"/>
      <c r="AC116" s="15"/>
      <c r="AD116" s="15"/>
    </row>
    <row r="117" spans="2:815">
      <c r="B117" s="33"/>
      <c r="C117" s="1"/>
      <c r="D117" s="89"/>
      <c r="E117" s="27"/>
      <c r="F117" s="37"/>
      <c r="G117" s="33"/>
      <c r="Z117" s="17"/>
      <c r="AA117" s="15"/>
      <c r="AB117" s="15"/>
      <c r="AC117" s="15"/>
      <c r="AD117" s="15"/>
    </row>
    <row r="118" spans="2:815">
      <c r="B118" s="33"/>
      <c r="C118" s="1"/>
      <c r="D118" s="89"/>
      <c r="E118" s="27"/>
      <c r="F118" s="37"/>
      <c r="G118" s="33"/>
      <c r="Z118" s="17"/>
      <c r="AA118" s="15"/>
      <c r="AB118" s="15"/>
      <c r="AC118" s="15"/>
      <c r="AD118" s="15"/>
    </row>
    <row r="119" spans="2:815">
      <c r="B119" s="33"/>
      <c r="C119" s="1"/>
      <c r="D119" s="89"/>
      <c r="E119" s="27"/>
      <c r="F119" s="37"/>
      <c r="G119" s="33"/>
      <c r="Z119" s="17"/>
      <c r="AA119" s="15"/>
      <c r="AB119" s="15"/>
      <c r="AC119" s="15"/>
      <c r="AD119" s="15"/>
    </row>
    <row r="120" spans="2:815">
      <c r="B120" s="33"/>
      <c r="C120" s="1"/>
      <c r="D120" s="89"/>
      <c r="E120" s="27"/>
      <c r="F120" s="37"/>
      <c r="G120" s="33"/>
      <c r="I120" s="16"/>
      <c r="J120" s="16"/>
      <c r="K120" s="16"/>
      <c r="L120" s="16"/>
      <c r="Z120" s="17"/>
      <c r="AA120" s="15"/>
      <c r="AB120" s="15"/>
      <c r="AC120" s="15"/>
      <c r="AD120" s="15"/>
    </row>
    <row r="121" spans="2:815">
      <c r="B121" s="33"/>
      <c r="C121" s="1"/>
      <c r="D121" s="89"/>
      <c r="E121" s="27"/>
      <c r="F121" s="37"/>
      <c r="G121" s="33"/>
      <c r="I121" s="16"/>
      <c r="J121" s="16"/>
      <c r="K121" s="16"/>
      <c r="L121" s="16"/>
      <c r="Z121" s="17"/>
      <c r="AA121" s="15"/>
      <c r="AB121" s="15"/>
      <c r="AC121" s="15"/>
      <c r="AD121" s="15"/>
    </row>
    <row r="122" spans="2:815">
      <c r="B122" s="33"/>
      <c r="C122" s="1"/>
      <c r="D122" s="89"/>
      <c r="E122" s="27"/>
      <c r="F122" s="37"/>
      <c r="G122" s="33"/>
      <c r="I122" s="16"/>
      <c r="J122" s="16"/>
      <c r="K122" s="16"/>
      <c r="L122" s="16"/>
      <c r="Z122" s="17"/>
      <c r="AA122" s="15"/>
      <c r="AB122" s="15"/>
      <c r="AC122" s="15"/>
      <c r="AD122" s="15"/>
    </row>
    <row r="123" spans="2:815">
      <c r="B123" s="33"/>
      <c r="C123" s="1"/>
      <c r="D123" s="89"/>
      <c r="E123" s="27"/>
      <c r="F123" s="37"/>
      <c r="G123" s="33"/>
      <c r="I123" s="16"/>
      <c r="J123" s="16"/>
      <c r="K123" s="16"/>
      <c r="L123" s="16"/>
      <c r="Z123" s="17"/>
      <c r="AA123" s="15"/>
      <c r="AB123" s="15"/>
      <c r="AC123" s="15"/>
      <c r="AD123" s="15"/>
    </row>
    <row r="124" spans="2:815" ht="42.6" customHeight="1">
      <c r="B124" s="33"/>
      <c r="C124" s="1"/>
      <c r="D124" s="89"/>
      <c r="E124" s="27"/>
      <c r="F124" s="37"/>
      <c r="G124" s="33"/>
      <c r="I124" s="16"/>
      <c r="J124" s="16"/>
      <c r="K124" s="16"/>
      <c r="L124" s="16"/>
      <c r="Z124" s="17"/>
      <c r="AA124" s="15"/>
      <c r="AB124" s="15"/>
      <c r="AC124" s="15"/>
      <c r="AD124" s="15"/>
    </row>
    <row r="125" spans="2:815" ht="42" customHeight="1">
      <c r="B125" s="33"/>
      <c r="C125" s="1"/>
      <c r="D125" s="89"/>
      <c r="E125" s="27"/>
      <c r="F125" s="37"/>
      <c r="G125" s="33"/>
      <c r="I125" s="16"/>
      <c r="J125" s="16"/>
      <c r="K125" s="16"/>
      <c r="L125" s="16"/>
      <c r="Z125" s="17"/>
      <c r="AA125" s="15"/>
      <c r="AB125" s="15"/>
      <c r="AC125" s="15"/>
      <c r="AD125" s="15"/>
    </row>
    <row r="126" spans="2:815">
      <c r="B126" s="33"/>
      <c r="C126" s="1"/>
      <c r="D126" s="89"/>
      <c r="E126" s="27"/>
      <c r="F126" s="37"/>
      <c r="G126" s="33"/>
      <c r="I126" s="16"/>
      <c r="J126" s="16"/>
      <c r="K126" s="16"/>
      <c r="L126" s="16"/>
      <c r="Z126" s="17"/>
      <c r="AA126" s="15"/>
      <c r="AB126" s="15"/>
      <c r="AC126" s="15"/>
      <c r="AD126" s="15"/>
    </row>
    <row r="127" spans="2:815" s="1" customFormat="1">
      <c r="B127" s="33"/>
      <c r="D127" s="89"/>
      <c r="E127" s="27"/>
      <c r="F127" s="37"/>
      <c r="G127" s="33"/>
      <c r="I127" s="16"/>
      <c r="J127" s="16"/>
      <c r="K127" s="16"/>
      <c r="L127" s="16"/>
      <c r="Z127" s="17"/>
      <c r="AA127" s="15"/>
      <c r="AB127" s="15"/>
      <c r="AC127" s="15"/>
      <c r="AD127" s="15"/>
    </row>
    <row r="128" spans="2:815">
      <c r="B128" s="33"/>
      <c r="C128" s="1"/>
      <c r="D128" s="89"/>
      <c r="E128" s="27"/>
      <c r="F128" s="37"/>
      <c r="G128" s="33"/>
      <c r="I128" s="18"/>
      <c r="AC128" s="15"/>
      <c r="AD128" s="15"/>
    </row>
    <row r="129" spans="2:10">
      <c r="B129" s="33"/>
      <c r="C129" s="1"/>
      <c r="D129" s="89"/>
      <c r="E129" s="27"/>
      <c r="F129" s="37"/>
      <c r="G129" s="33"/>
      <c r="I129" s="18"/>
    </row>
    <row r="130" spans="2:10" outlineLevel="1">
      <c r="B130" s="33"/>
      <c r="C130" s="1"/>
      <c r="D130" s="89"/>
      <c r="E130" s="27"/>
      <c r="F130" s="37"/>
      <c r="G130" s="33"/>
    </row>
    <row r="131" spans="2:10" ht="21.6" customHeight="1" outlineLevel="1">
      <c r="B131" s="33"/>
      <c r="C131" s="1"/>
      <c r="D131" s="89"/>
      <c r="E131" s="27"/>
      <c r="F131" s="37"/>
      <c r="G131" s="33"/>
      <c r="I131" s="47"/>
    </row>
    <row r="132" spans="2:10" s="1" customFormat="1">
      <c r="B132" s="33"/>
      <c r="D132" s="89"/>
      <c r="E132" s="27"/>
      <c r="F132" s="37"/>
      <c r="G132" s="33"/>
      <c r="I132" s="48"/>
    </row>
    <row r="133" spans="2:10" ht="14.4" customHeight="1">
      <c r="B133" s="33"/>
      <c r="C133" s="1"/>
      <c r="D133" s="89"/>
      <c r="E133" s="27"/>
      <c r="F133" s="37"/>
      <c r="G133" s="33"/>
      <c r="H133" s="47"/>
      <c r="I133" s="41"/>
    </row>
    <row r="134" spans="2:10">
      <c r="B134" s="33"/>
      <c r="C134" s="1"/>
      <c r="D134" s="89"/>
      <c r="E134" s="27"/>
      <c r="F134" s="37"/>
      <c r="G134" s="33"/>
      <c r="H134" s="48"/>
      <c r="I134" s="16"/>
    </row>
    <row r="135" spans="2:10">
      <c r="B135" s="33"/>
      <c r="C135" s="1"/>
      <c r="D135" s="89"/>
      <c r="E135" s="27"/>
      <c r="F135" s="37"/>
      <c r="G135" s="33"/>
      <c r="H135" s="41"/>
      <c r="I135" s="16"/>
    </row>
    <row r="136" spans="2:10" ht="22.2" customHeight="1">
      <c r="B136" s="33"/>
      <c r="C136" s="1"/>
      <c r="D136" s="1"/>
      <c r="E136" s="27"/>
      <c r="F136" s="37"/>
      <c r="G136" s="33"/>
      <c r="H136" s="16"/>
      <c r="I136" s="16"/>
    </row>
    <row r="137" spans="2:10" ht="19.95" customHeight="1">
      <c r="B137" s="155"/>
      <c r="C137" s="155"/>
      <c r="D137" s="155"/>
      <c r="E137" s="155"/>
      <c r="F137" s="155"/>
      <c r="G137" s="155"/>
      <c r="H137" s="16"/>
    </row>
    <row r="138" spans="2:10" s="1" customFormat="1">
      <c r="B138" s="129"/>
      <c r="C138" s="130"/>
      <c r="D138" s="130"/>
      <c r="E138" s="131"/>
      <c r="F138" s="38"/>
      <c r="G138" s="129"/>
      <c r="H138" s="16"/>
    </row>
    <row r="139" spans="2:10" s="1" customFormat="1" ht="13.95" customHeight="1">
      <c r="B139" s="86"/>
      <c r="C139" s="11"/>
      <c r="D139" s="24"/>
      <c r="E139" s="27"/>
      <c r="F139" s="91"/>
      <c r="G139" s="92"/>
      <c r="J139" s="25"/>
    </row>
    <row r="140" spans="2:10" s="1" customFormat="1">
      <c r="B140" s="86"/>
      <c r="C140" s="11"/>
      <c r="D140" s="24"/>
      <c r="E140" s="27"/>
      <c r="F140" s="91"/>
      <c r="G140" s="92"/>
    </row>
    <row r="141" spans="2:10" s="1" customFormat="1" ht="15.6" customHeight="1">
      <c r="B141" s="129"/>
      <c r="C141" s="93"/>
      <c r="D141" s="93"/>
      <c r="E141" s="87"/>
      <c r="F141" s="37"/>
      <c r="G141" s="33"/>
    </row>
    <row r="142" spans="2:10" s="1" customFormat="1" ht="15.6" customHeight="1">
      <c r="B142" s="156"/>
      <c r="C142" s="94"/>
      <c r="D142" s="94"/>
      <c r="E142" s="94"/>
      <c r="F142" s="94"/>
      <c r="G142" s="94"/>
    </row>
    <row r="143" spans="2:10" s="1" customFormat="1" ht="15.6" customHeight="1">
      <c r="B143" s="94"/>
      <c r="C143" s="94"/>
      <c r="D143" s="94"/>
      <c r="E143" s="81"/>
      <c r="F143" s="119"/>
      <c r="G143" s="94"/>
    </row>
    <row r="144" spans="2:10" s="1" customFormat="1">
      <c r="B144" s="129"/>
      <c r="C144" s="130"/>
      <c r="D144" s="131"/>
      <c r="E144" s="38"/>
      <c r="F144" s="129"/>
    </row>
    <row r="145" spans="2:7" s="1" customFormat="1">
      <c r="B145" s="27"/>
      <c r="C145" s="15"/>
      <c r="D145" s="33"/>
      <c r="E145" s="325"/>
      <c r="F145" s="290"/>
    </row>
    <row r="146" spans="2:7" s="1" customFormat="1">
      <c r="B146" s="33"/>
      <c r="C146" s="15"/>
      <c r="D146" s="27"/>
      <c r="E146" s="37"/>
      <c r="F146" s="33"/>
    </row>
    <row r="147" spans="2:7" s="1" customFormat="1">
      <c r="B147" s="33"/>
      <c r="C147" s="96"/>
      <c r="D147" s="97"/>
      <c r="E147" s="37"/>
      <c r="F147" s="33"/>
    </row>
    <row r="148" spans="2:7" s="1" customFormat="1">
      <c r="B148" s="321"/>
      <c r="C148" s="290"/>
      <c r="D148" s="27"/>
      <c r="E148" s="37"/>
      <c r="F148" s="33"/>
    </row>
    <row r="149" spans="2:7" s="1" customFormat="1">
      <c r="B149" s="33"/>
      <c r="C149" s="98"/>
      <c r="D149" s="27"/>
      <c r="E149" s="318"/>
      <c r="F149" s="290"/>
    </row>
    <row r="150" spans="2:7" s="1" customFormat="1">
      <c r="B150" s="33"/>
      <c r="C150" s="99"/>
      <c r="D150" s="27"/>
      <c r="E150" s="37"/>
      <c r="F150" s="33"/>
    </row>
    <row r="151" spans="2:7" s="1" customFormat="1">
      <c r="B151" s="33"/>
      <c r="C151" s="100"/>
      <c r="D151" s="27"/>
      <c r="E151" s="318"/>
      <c r="F151" s="290"/>
    </row>
    <row r="152" spans="2:7" s="1" customFormat="1">
      <c r="B152" s="33"/>
      <c r="C152" s="101"/>
      <c r="D152" s="33"/>
      <c r="E152" s="318"/>
      <c r="F152" s="290"/>
    </row>
    <row r="153" spans="2:7" s="1" customFormat="1">
      <c r="B153" s="157"/>
      <c r="C153" s="102"/>
      <c r="D153" s="27"/>
      <c r="E153" s="37"/>
      <c r="F153" s="103"/>
    </row>
    <row r="154" spans="2:7" s="1" customFormat="1">
      <c r="B154" s="33"/>
      <c r="C154" s="15"/>
      <c r="D154" s="27"/>
      <c r="E154" s="37"/>
      <c r="F154" s="103"/>
    </row>
    <row r="155" spans="2:7" s="1" customFormat="1">
      <c r="B155" s="33"/>
      <c r="C155" s="102"/>
      <c r="D155" s="27"/>
      <c r="E155" s="104"/>
      <c r="F155" s="103"/>
    </row>
    <row r="156" spans="2:7" s="1" customFormat="1" hidden="1">
      <c r="B156" s="33"/>
      <c r="C156" s="26"/>
      <c r="D156" s="27"/>
      <c r="E156" s="37"/>
      <c r="F156" s="103"/>
    </row>
    <row r="157" spans="2:7" s="1" customFormat="1" hidden="1">
      <c r="B157" s="33"/>
      <c r="D157" s="27"/>
      <c r="E157" s="37"/>
      <c r="F157" s="103"/>
    </row>
    <row r="158" spans="2:7" s="1" customFormat="1" hidden="1">
      <c r="B158" s="33"/>
      <c r="E158" s="27"/>
      <c r="F158" s="37"/>
      <c r="G158" s="103"/>
    </row>
    <row r="159" spans="2:7" s="1" customFormat="1" hidden="1">
      <c r="B159" s="156"/>
      <c r="C159" s="156"/>
      <c r="D159" s="156"/>
      <c r="E159" s="156"/>
      <c r="F159" s="156"/>
    </row>
    <row r="160" spans="2:7" s="1" customFormat="1" hidden="1">
      <c r="B160" s="129"/>
      <c r="C160" s="130"/>
      <c r="D160" s="130"/>
      <c r="E160" s="131"/>
      <c r="F160" s="38"/>
    </row>
    <row r="161" spans="2:7" s="1" customFormat="1" hidden="1">
      <c r="B161" s="33"/>
      <c r="C161" s="15"/>
      <c r="E161" s="27"/>
      <c r="F161" s="88"/>
    </row>
    <row r="162" spans="2:7" s="1" customFormat="1" hidden="1">
      <c r="B162" s="33"/>
      <c r="C162" s="96"/>
      <c r="D162" s="105"/>
      <c r="E162" s="27"/>
      <c r="F162" s="88"/>
    </row>
    <row r="163" spans="2:7" s="1" customFormat="1" hidden="1">
      <c r="B163" s="106"/>
      <c r="E163" s="27"/>
      <c r="F163" s="37"/>
    </row>
    <row r="164" spans="2:7" s="1" customFormat="1" hidden="1">
      <c r="B164" s="33"/>
      <c r="C164" s="98"/>
      <c r="E164" s="27"/>
      <c r="F164" s="107"/>
    </row>
    <row r="165" spans="2:7" s="1" customFormat="1" hidden="1">
      <c r="B165" s="33"/>
      <c r="C165" s="99"/>
      <c r="D165" s="100"/>
      <c r="E165" s="37"/>
    </row>
    <row r="166" spans="2:7" s="1" customFormat="1" hidden="1">
      <c r="B166" s="33"/>
      <c r="C166" s="100"/>
      <c r="D166" s="100"/>
      <c r="E166" s="27"/>
      <c r="F166" s="107"/>
    </row>
    <row r="167" spans="2:7" s="1" customFormat="1" hidden="1">
      <c r="B167" s="33"/>
      <c r="C167" s="108"/>
      <c r="D167" s="33"/>
      <c r="F167" s="27"/>
    </row>
    <row r="168" spans="2:7" s="1" customFormat="1" hidden="1">
      <c r="B168" s="157"/>
      <c r="C168" s="102"/>
      <c r="D168" s="27"/>
      <c r="F168" s="27"/>
    </row>
    <row r="169" spans="2:7" s="1" customFormat="1" hidden="1">
      <c r="B169" s="33"/>
      <c r="C169" s="102"/>
      <c r="D169" s="27"/>
      <c r="F169" s="27"/>
    </row>
    <row r="170" spans="2:7" s="1" customFormat="1" hidden="1">
      <c r="B170" s="33"/>
      <c r="D170" s="109"/>
      <c r="E170" s="27"/>
      <c r="F170" s="37"/>
    </row>
    <row r="171" spans="2:7" s="1" customFormat="1" hidden="1">
      <c r="B171" s="33"/>
      <c r="D171" s="109"/>
      <c r="E171" s="27"/>
      <c r="F171" s="37"/>
      <c r="G171" s="103"/>
    </row>
    <row r="172" spans="2:7" s="1" customFormat="1" hidden="1">
      <c r="B172" s="156"/>
      <c r="C172" s="156"/>
      <c r="D172" s="156"/>
      <c r="E172" s="156"/>
      <c r="F172" s="156"/>
      <c r="G172" s="156"/>
    </row>
    <row r="173" spans="2:7" s="1" customFormat="1" ht="14.4" hidden="1" customHeight="1">
      <c r="B173" s="155"/>
      <c r="C173" s="155"/>
      <c r="D173" s="155"/>
      <c r="E173" s="155"/>
      <c r="F173" s="155"/>
      <c r="G173" s="155"/>
    </row>
    <row r="174" spans="2:7" s="1" customFormat="1" ht="14.4" hidden="1" customHeight="1">
      <c r="B174" s="131"/>
      <c r="C174" s="130"/>
      <c r="D174" s="130"/>
      <c r="E174" s="158"/>
      <c r="F174" s="38"/>
      <c r="G174" s="129"/>
    </row>
    <row r="175" spans="2:7" s="1" customFormat="1" hidden="1">
      <c r="B175" s="129"/>
      <c r="C175" s="110"/>
      <c r="D175" s="110"/>
      <c r="E175" s="111"/>
      <c r="F175" s="112"/>
      <c r="G175" s="113"/>
    </row>
    <row r="176" spans="2:7" s="1" customFormat="1" hidden="1">
      <c r="B176" s="129"/>
      <c r="C176" s="110"/>
      <c r="D176" s="110"/>
      <c r="E176" s="111"/>
      <c r="F176" s="112"/>
      <c r="G176" s="113"/>
    </row>
    <row r="177" spans="2:16" s="1" customFormat="1" hidden="1">
      <c r="B177" s="34"/>
      <c r="C177" s="8"/>
      <c r="D177" s="8"/>
      <c r="E177" s="29"/>
      <c r="F177" s="38"/>
      <c r="G177" s="34"/>
    </row>
    <row r="178" spans="2:16" s="1" customFormat="1" ht="15.6" hidden="1" customHeight="1">
      <c r="B178" s="159"/>
      <c r="C178" s="110"/>
      <c r="D178" s="110"/>
      <c r="E178" s="87"/>
      <c r="F178" s="112"/>
      <c r="G178" s="113"/>
    </row>
    <row r="179" spans="2:16" s="1" customFormat="1" hidden="1">
      <c r="B179" s="129"/>
      <c r="C179" s="130"/>
      <c r="D179" s="155"/>
      <c r="E179" s="160"/>
      <c r="F179" s="38"/>
      <c r="G179" s="129"/>
    </row>
    <row r="180" spans="2:16" s="1" customFormat="1" ht="15.6" hidden="1" customHeight="1">
      <c r="B180" s="86"/>
      <c r="C180" s="114"/>
      <c r="D180" s="114"/>
      <c r="E180" s="115"/>
      <c r="F180" s="116"/>
      <c r="G180" s="113"/>
    </row>
    <row r="181" spans="2:16" s="1" customFormat="1" ht="15.6" hidden="1" customHeight="1">
      <c r="B181" s="86"/>
      <c r="C181" s="114"/>
      <c r="D181" s="114"/>
      <c r="E181" s="115"/>
      <c r="F181" s="116"/>
      <c r="G181" s="113"/>
    </row>
    <row r="182" spans="2:16" s="1" customFormat="1" ht="15.6" hidden="1" customHeight="1">
      <c r="B182" s="161"/>
      <c r="C182" s="110"/>
      <c r="D182" s="110"/>
      <c r="E182" s="87"/>
      <c r="F182" s="112"/>
      <c r="G182" s="113"/>
    </row>
    <row r="183" spans="2:16" s="1" customFormat="1">
      <c r="B183" s="129"/>
      <c r="C183" s="130"/>
      <c r="D183" s="155"/>
      <c r="E183" s="160"/>
      <c r="F183" s="38"/>
      <c r="G183" s="129"/>
      <c r="I183" s="41"/>
    </row>
    <row r="184" spans="2:16" s="1" customFormat="1" ht="15.6" customHeight="1">
      <c r="B184" s="86"/>
      <c r="C184" s="114"/>
      <c r="D184" s="114"/>
      <c r="E184" s="115"/>
      <c r="F184" s="116"/>
      <c r="G184" s="113"/>
      <c r="H184" s="48"/>
      <c r="I184" s="16"/>
    </row>
    <row r="185" spans="2:16" s="1" customFormat="1" ht="15.6" customHeight="1">
      <c r="B185" s="86"/>
      <c r="C185" s="114"/>
      <c r="D185" s="114"/>
      <c r="E185" s="115"/>
      <c r="F185" s="116"/>
      <c r="G185" s="113"/>
      <c r="H185" s="41"/>
      <c r="I185" s="16"/>
    </row>
    <row r="186" spans="2:16" s="1" customFormat="1" ht="29.4" customHeight="1">
      <c r="B186" s="161"/>
      <c r="C186" s="110"/>
      <c r="D186" s="110"/>
      <c r="E186" s="87"/>
      <c r="F186" s="112"/>
      <c r="G186" s="113"/>
      <c r="H186" s="16"/>
      <c r="I186" s="24"/>
      <c r="K186" s="24"/>
      <c r="L186" s="24"/>
      <c r="M186" s="24"/>
      <c r="N186" s="24"/>
      <c r="O186" s="24"/>
      <c r="P186" s="24"/>
    </row>
    <row r="187" spans="2:16" s="1" customFormat="1" ht="29.4" customHeight="1">
      <c r="B187" s="129"/>
      <c r="C187" s="130"/>
      <c r="D187" s="155"/>
      <c r="E187" s="160"/>
      <c r="F187" s="38"/>
      <c r="G187" s="129"/>
      <c r="H187" s="16"/>
    </row>
    <row r="188" spans="2:16" s="1" customFormat="1" ht="17.399999999999999" customHeight="1">
      <c r="B188" s="86"/>
      <c r="C188" s="114"/>
      <c r="D188" s="114"/>
      <c r="E188" s="115"/>
      <c r="F188" s="116"/>
      <c r="G188" s="113"/>
      <c r="H188" s="24"/>
    </row>
    <row r="189" spans="2:16" s="1" customFormat="1" ht="15.6" customHeight="1">
      <c r="B189" s="86"/>
      <c r="C189" s="114"/>
      <c r="D189" s="114"/>
      <c r="E189" s="115"/>
      <c r="F189" s="116"/>
      <c r="G189" s="113"/>
    </row>
    <row r="190" spans="2:16" s="1" customFormat="1" ht="15.6" customHeight="1">
      <c r="B190" s="129"/>
      <c r="C190" s="114"/>
      <c r="D190" s="114"/>
      <c r="E190" s="115"/>
      <c r="F190" s="116"/>
      <c r="G190" s="113"/>
    </row>
    <row r="191" spans="2:16" s="1" customFormat="1">
      <c r="B191" s="155"/>
      <c r="C191" s="155"/>
      <c r="D191" s="155"/>
      <c r="E191" s="155"/>
      <c r="F191" s="155"/>
      <c r="G191" s="155"/>
    </row>
    <row r="192" spans="2:16" s="1" customFormat="1" ht="17.399999999999999" customHeight="1">
      <c r="B192" s="131"/>
      <c r="C192" s="130"/>
      <c r="D192" s="130"/>
      <c r="E192" s="131"/>
      <c r="F192" s="130"/>
      <c r="G192" s="130"/>
    </row>
    <row r="193" spans="2:7" s="1" customFormat="1">
      <c r="B193" s="86"/>
      <c r="C193" s="114"/>
      <c r="D193" s="24"/>
      <c r="E193" s="117"/>
      <c r="F193" s="91"/>
      <c r="G193" s="110"/>
    </row>
    <row r="194" spans="2:7" s="1" customFormat="1">
      <c r="B194" s="86"/>
      <c r="C194" s="114"/>
      <c r="D194" s="24"/>
      <c r="E194" s="118"/>
      <c r="F194" s="91"/>
      <c r="G194" s="110"/>
    </row>
    <row r="195" spans="2:7" s="1" customFormat="1" ht="14.4" customHeight="1">
      <c r="B195" s="129"/>
      <c r="C195" s="110"/>
      <c r="D195" s="110"/>
      <c r="E195" s="87"/>
      <c r="F195" s="112"/>
      <c r="G195" s="113"/>
    </row>
    <row r="196" spans="2:7" s="1" customFormat="1" ht="14.4" customHeight="1">
      <c r="B196" s="48"/>
      <c r="C196" s="48"/>
      <c r="D196" s="48"/>
      <c r="E196" s="48"/>
      <c r="F196" s="48"/>
    </row>
    <row r="197" spans="2:7" s="1" customFormat="1">
      <c r="B197" s="94"/>
      <c r="C197" s="94"/>
      <c r="D197" s="94"/>
      <c r="E197" s="81"/>
      <c r="F197" s="119"/>
    </row>
    <row r="198" spans="2:7" s="1" customFormat="1" ht="30" customHeight="1">
      <c r="B198" s="129"/>
      <c r="C198" s="130"/>
      <c r="D198" s="131"/>
      <c r="E198" s="38"/>
      <c r="F198" s="129"/>
    </row>
    <row r="199" spans="2:7" s="1" customFormat="1" ht="28.95" customHeight="1">
      <c r="B199" s="33"/>
      <c r="C199" s="15"/>
      <c r="D199" s="27"/>
      <c r="E199" s="88"/>
      <c r="F199" s="33"/>
    </row>
    <row r="200" spans="2:7" s="1" customFormat="1">
      <c r="B200" s="33"/>
      <c r="C200" s="15"/>
      <c r="D200" s="27"/>
      <c r="E200" s="37"/>
      <c r="F200" s="95"/>
    </row>
    <row r="201" spans="2:7" s="1" customFormat="1">
      <c r="B201" s="33"/>
      <c r="C201" s="96"/>
      <c r="D201" s="97"/>
      <c r="E201" s="120"/>
      <c r="F201" s="33"/>
    </row>
    <row r="202" spans="2:7" s="1" customFormat="1" ht="18" customHeight="1">
      <c r="B202" s="97"/>
      <c r="E202" s="37"/>
      <c r="F202" s="33"/>
    </row>
    <row r="203" spans="2:7" s="1" customFormat="1">
      <c r="B203" s="37"/>
      <c r="C203" s="98"/>
      <c r="E203" s="318"/>
      <c r="F203" s="290"/>
    </row>
    <row r="204" spans="2:7" s="1" customFormat="1">
      <c r="B204" s="121"/>
      <c r="C204" s="99"/>
      <c r="D204" s="33"/>
      <c r="E204" s="37"/>
      <c r="F204" s="33"/>
    </row>
    <row r="205" spans="2:7" s="1" customFormat="1">
      <c r="B205" s="121"/>
      <c r="C205" s="100"/>
      <c r="D205" s="122"/>
      <c r="E205" s="27"/>
      <c r="F205" s="103"/>
    </row>
    <row r="206" spans="2:7" s="1" customFormat="1">
      <c r="B206" s="33"/>
      <c r="C206" s="102"/>
      <c r="D206" s="33"/>
      <c r="E206" s="319"/>
      <c r="F206" s="290"/>
    </row>
    <row r="207" spans="2:7" s="1" customFormat="1">
      <c r="B207" s="157"/>
      <c r="C207" s="102"/>
      <c r="D207" s="27"/>
      <c r="E207" s="37"/>
      <c r="F207" s="103"/>
    </row>
    <row r="208" spans="2:7" s="1" customFormat="1">
      <c r="B208" s="33"/>
      <c r="C208" s="15"/>
      <c r="D208" s="27"/>
      <c r="E208" s="37"/>
      <c r="F208" s="103"/>
    </row>
    <row r="209" spans="2:7" s="1" customFormat="1">
      <c r="B209" s="33"/>
      <c r="C209" s="102"/>
      <c r="D209" s="27"/>
      <c r="E209" s="37"/>
      <c r="F209" s="103"/>
    </row>
    <row r="210" spans="2:7" s="1" customFormat="1">
      <c r="B210" s="33"/>
      <c r="C210" s="26"/>
      <c r="D210" s="27"/>
      <c r="E210" s="37"/>
      <c r="F210" s="103"/>
    </row>
    <row r="211" spans="2:7" s="1" customFormat="1">
      <c r="B211" s="33"/>
      <c r="C211" s="109"/>
      <c r="D211" s="27"/>
      <c r="E211" s="37"/>
      <c r="F211" s="103"/>
    </row>
    <row r="212" spans="2:7" s="1" customFormat="1">
      <c r="B212" s="33"/>
      <c r="D212" s="27"/>
      <c r="E212" s="37"/>
      <c r="F212" s="103"/>
    </row>
    <row r="213" spans="2:7" s="1" customFormat="1">
      <c r="B213" s="33"/>
      <c r="E213" s="27"/>
      <c r="F213" s="37"/>
      <c r="G213" s="33"/>
    </row>
    <row r="214" spans="2:7" s="1" customFormat="1">
      <c r="B214" s="33"/>
      <c r="E214" s="124"/>
      <c r="F214" s="37"/>
      <c r="G214" s="33"/>
    </row>
    <row r="215" spans="2:7" s="1" customFormat="1">
      <c r="B215" s="33"/>
      <c r="C215" s="33"/>
      <c r="D215" s="33"/>
      <c r="E215" s="33"/>
      <c r="F215" s="33"/>
      <c r="G215" s="33"/>
    </row>
    <row r="216" spans="2:7" s="1" customFormat="1">
      <c r="B216" s="129"/>
      <c r="C216" s="130"/>
      <c r="D216" s="130"/>
      <c r="E216" s="131"/>
      <c r="F216" s="38"/>
      <c r="G216" s="132"/>
    </row>
    <row r="217" spans="2:7" s="1" customFormat="1">
      <c r="B217" s="125"/>
      <c r="C217" s="15"/>
      <c r="E217" s="27"/>
      <c r="F217" s="37"/>
      <c r="G217" s="33"/>
    </row>
    <row r="218" spans="2:7" s="1" customFormat="1">
      <c r="B218" s="125"/>
      <c r="C218" s="15"/>
      <c r="E218" s="27"/>
      <c r="F218" s="37"/>
      <c r="G218" s="33"/>
    </row>
    <row r="219" spans="2:7" s="1" customFormat="1">
      <c r="B219" s="33"/>
      <c r="C219" s="15"/>
      <c r="E219" s="27"/>
      <c r="F219" s="37"/>
      <c r="G219" s="33"/>
    </row>
    <row r="220" spans="2:7" s="1" customFormat="1">
      <c r="B220" s="33"/>
      <c r="C220" s="15"/>
      <c r="E220" s="27"/>
      <c r="F220" s="37"/>
      <c r="G220" s="33"/>
    </row>
    <row r="221" spans="2:7" s="1" customFormat="1">
      <c r="B221" s="33"/>
      <c r="C221" s="15"/>
      <c r="E221" s="27"/>
      <c r="F221" s="37"/>
      <c r="G221" s="33"/>
    </row>
    <row r="222" spans="2:7" s="1" customFormat="1">
      <c r="B222" s="126"/>
      <c r="C222" s="15"/>
      <c r="E222" s="37"/>
      <c r="F222" s="37"/>
      <c r="G222" s="33"/>
    </row>
    <row r="223" spans="2:7" s="1" customFormat="1">
      <c r="B223" s="126"/>
      <c r="C223" s="15"/>
      <c r="E223" s="37"/>
      <c r="F223" s="37"/>
      <c r="G223" s="33"/>
    </row>
    <row r="224" spans="2:7" s="1" customFormat="1" ht="14.4" customHeight="1">
      <c r="B224" s="126"/>
      <c r="C224" s="15"/>
      <c r="E224" s="37"/>
      <c r="F224" s="37"/>
      <c r="G224" s="33"/>
    </row>
    <row r="225" spans="2:7" s="1" customFormat="1" ht="14.4" customHeight="1">
      <c r="B225" s="162"/>
      <c r="E225" s="27"/>
      <c r="F225" s="37"/>
      <c r="G225" s="33"/>
    </row>
    <row r="226" spans="2:7" s="1" customFormat="1" ht="14.4" customHeight="1">
      <c r="B226" s="33"/>
      <c r="C226" s="127"/>
      <c r="E226" s="27"/>
      <c r="F226" s="37"/>
      <c r="G226" s="33"/>
    </row>
    <row r="227" spans="2:7" s="1" customFormat="1" ht="14.4" customHeight="1">
      <c r="B227" s="33"/>
      <c r="C227" s="127"/>
      <c r="E227" s="27"/>
      <c r="F227" s="37"/>
      <c r="G227" s="33"/>
    </row>
    <row r="228" spans="2:7" s="1" customFormat="1" ht="14.4" customHeight="1">
      <c r="B228" s="33"/>
      <c r="C228" s="127"/>
      <c r="E228" s="27"/>
      <c r="F228" s="37"/>
      <c r="G228" s="33"/>
    </row>
    <row r="229" spans="2:7" s="1" customFormat="1" ht="17.399999999999999" customHeight="1">
      <c r="B229" s="33"/>
      <c r="E229" s="27"/>
      <c r="F229" s="37"/>
      <c r="G229" s="33"/>
    </row>
    <row r="230" spans="2:7" s="1" customFormat="1" ht="14.4" customHeight="1">
      <c r="B230" s="33"/>
      <c r="E230" s="27"/>
      <c r="F230" s="37"/>
      <c r="G230" s="33"/>
    </row>
    <row r="231" spans="2:7" s="1" customFormat="1" ht="14.4" customHeight="1">
      <c r="B231" s="33"/>
      <c r="C231" s="33"/>
      <c r="D231" s="33"/>
      <c r="E231" s="33"/>
      <c r="F231" s="33"/>
      <c r="G231" s="33"/>
    </row>
    <row r="232" spans="2:7" s="1" customFormat="1" ht="14.4" customHeight="1">
      <c r="B232" s="129"/>
      <c r="C232" s="130"/>
      <c r="D232" s="130"/>
      <c r="E232" s="131"/>
      <c r="F232" s="38"/>
      <c r="G232" s="129"/>
    </row>
    <row r="233" spans="2:7" s="1" customFormat="1" ht="16.95" customHeight="1">
      <c r="B233" s="125"/>
      <c r="C233" s="15"/>
      <c r="E233" s="27"/>
      <c r="F233" s="37"/>
      <c r="G233" s="33"/>
    </row>
    <row r="234" spans="2:7" s="1" customFormat="1" ht="14.4" customHeight="1">
      <c r="B234" s="33"/>
      <c r="C234" s="15"/>
      <c r="E234" s="135"/>
      <c r="F234" s="37"/>
      <c r="G234" s="33"/>
    </row>
    <row r="235" spans="2:7" s="1" customFormat="1" ht="14.4" customHeight="1">
      <c r="B235" s="33"/>
      <c r="C235" s="15"/>
      <c r="E235" s="135"/>
      <c r="F235" s="37"/>
      <c r="G235" s="33"/>
    </row>
    <row r="236" spans="2:7" s="1" customFormat="1" ht="14.4" customHeight="1">
      <c r="B236" s="33"/>
      <c r="C236" s="15"/>
      <c r="E236" s="135"/>
      <c r="F236" s="37"/>
      <c r="G236" s="33"/>
    </row>
    <row r="237" spans="2:7" s="1" customFormat="1" ht="14.4" customHeight="1">
      <c r="B237" s="126"/>
      <c r="C237" s="15"/>
      <c r="E237" s="37"/>
      <c r="G237" s="33"/>
    </row>
    <row r="238" spans="2:7" s="1" customFormat="1" ht="14.4" customHeight="1">
      <c r="B238" s="126"/>
      <c r="C238" s="15"/>
      <c r="E238" s="37"/>
      <c r="G238" s="33"/>
    </row>
    <row r="239" spans="2:7" s="1" customFormat="1" ht="14.4" customHeight="1">
      <c r="B239" s="126"/>
      <c r="C239" s="15"/>
      <c r="E239" s="37"/>
      <c r="F239" s="37"/>
      <c r="G239" s="33"/>
    </row>
    <row r="240" spans="2:7" s="1" customFormat="1" ht="16.2" customHeight="1">
      <c r="B240" s="128"/>
      <c r="D240" s="16"/>
      <c r="E240" s="37"/>
      <c r="G240" s="33"/>
    </row>
    <row r="241" spans="2:8" s="1" customFormat="1" ht="15" customHeight="1">
      <c r="B241" s="162"/>
      <c r="E241" s="27"/>
      <c r="F241" s="37"/>
      <c r="G241" s="33"/>
    </row>
    <row r="242" spans="2:8" s="1" customFormat="1">
      <c r="B242" s="33"/>
      <c r="C242" s="127"/>
      <c r="E242" s="27"/>
      <c r="F242" s="37"/>
      <c r="G242" s="33"/>
    </row>
    <row r="243" spans="2:8" s="1" customFormat="1">
      <c r="B243" s="33"/>
      <c r="C243" s="127"/>
      <c r="E243" s="27"/>
      <c r="F243" s="37"/>
      <c r="G243" s="33"/>
    </row>
    <row r="244" spans="2:8" s="1" customFormat="1">
      <c r="B244" s="33"/>
      <c r="C244" s="127"/>
      <c r="E244" s="27"/>
      <c r="F244" s="37"/>
      <c r="G244" s="33"/>
    </row>
    <row r="245" spans="2:8" s="1" customFormat="1">
      <c r="B245" s="33"/>
      <c r="E245" s="27"/>
      <c r="F245" s="37"/>
      <c r="G245" s="33"/>
    </row>
    <row r="246" spans="2:8" s="1" customFormat="1">
      <c r="B246" s="33"/>
      <c r="E246" s="27"/>
      <c r="F246" s="37"/>
      <c r="G246" s="33"/>
    </row>
    <row r="247" spans="2:8" s="1" customFormat="1">
      <c r="B247" s="163"/>
      <c r="C247" s="163"/>
      <c r="D247" s="163"/>
      <c r="E247" s="163"/>
      <c r="F247" s="163"/>
      <c r="G247" s="163"/>
    </row>
    <row r="248" spans="2:8" s="1" customFormat="1">
      <c r="B248" s="164"/>
      <c r="C248" s="164"/>
      <c r="D248" s="164"/>
      <c r="E248" s="164"/>
      <c r="F248" s="164"/>
      <c r="G248" s="164"/>
    </row>
    <row r="249" spans="2:8" s="1" customFormat="1" ht="15" customHeight="1">
      <c r="B249" s="129"/>
      <c r="C249" s="130"/>
      <c r="D249" s="130"/>
      <c r="E249" s="131"/>
      <c r="F249" s="38"/>
      <c r="G249" s="129"/>
    </row>
    <row r="250" spans="2:8" s="1" customFormat="1" ht="15" customHeight="1">
      <c r="B250" s="129"/>
      <c r="C250" s="130"/>
      <c r="D250" s="130"/>
      <c r="E250" s="131"/>
      <c r="F250" s="38"/>
      <c r="G250" s="129"/>
    </row>
    <row r="251" spans="2:8" s="1" customFormat="1" ht="27" customHeight="1">
      <c r="B251" s="33"/>
      <c r="C251" s="15"/>
      <c r="D251" s="16"/>
      <c r="E251" s="27"/>
      <c r="F251" s="37"/>
      <c r="G251" s="132"/>
    </row>
    <row r="252" spans="2:8" s="1" customFormat="1">
      <c r="B252" s="33"/>
      <c r="C252" s="13"/>
      <c r="D252" s="16"/>
      <c r="E252" s="27"/>
      <c r="F252" s="37"/>
      <c r="G252" s="132"/>
      <c r="H252" s="1" t="s">
        <v>1</v>
      </c>
    </row>
    <row r="253" spans="2:8" s="1" customFormat="1" ht="23.4" customHeight="1">
      <c r="B253" s="33"/>
      <c r="C253" s="13"/>
      <c r="D253" s="16"/>
      <c r="E253" s="27"/>
      <c r="F253" s="37"/>
      <c r="G253" s="132"/>
    </row>
    <row r="254" spans="2:8" s="1" customFormat="1">
      <c r="B254" s="133"/>
      <c r="E254" s="27"/>
      <c r="F254" s="87"/>
      <c r="G254" s="87"/>
    </row>
    <row r="255" spans="2:8" s="1" customFormat="1">
      <c r="B255" s="33"/>
      <c r="C255" s="15"/>
      <c r="D255" s="134"/>
      <c r="E255" s="135"/>
      <c r="F255" s="87"/>
      <c r="G255" s="87"/>
    </row>
    <row r="256" spans="2:8" s="1" customFormat="1" ht="31.2" customHeight="1">
      <c r="B256" s="33"/>
      <c r="C256" s="13"/>
      <c r="D256" s="134"/>
      <c r="E256" s="27"/>
      <c r="F256" s="87"/>
      <c r="G256" s="87"/>
    </row>
    <row r="257" spans="2:7" s="1" customFormat="1">
      <c r="B257" s="106"/>
      <c r="D257" s="134"/>
      <c r="E257" s="27"/>
      <c r="F257" s="87"/>
      <c r="G257" s="87"/>
    </row>
    <row r="258" spans="2:7" s="1" customFormat="1">
      <c r="B258" s="136"/>
      <c r="C258" s="15"/>
      <c r="D258" s="134"/>
      <c r="E258" s="27"/>
      <c r="F258" s="87"/>
      <c r="G258" s="87"/>
    </row>
    <row r="259" spans="2:7" s="1" customFormat="1">
      <c r="B259" s="137"/>
      <c r="C259" s="15"/>
      <c r="D259" s="134"/>
      <c r="E259" s="27"/>
      <c r="F259" s="87"/>
      <c r="G259" s="87"/>
    </row>
    <row r="260" spans="2:7" s="1" customFormat="1">
      <c r="B260" s="137"/>
      <c r="C260" s="15"/>
      <c r="D260" s="134"/>
      <c r="E260" s="27"/>
      <c r="F260" s="87"/>
      <c r="G260" s="87"/>
    </row>
    <row r="261" spans="2:7" s="1" customFormat="1">
      <c r="B261" s="142"/>
      <c r="C261" s="138"/>
      <c r="D261" s="104"/>
      <c r="E261" s="139"/>
      <c r="F261" s="37"/>
      <c r="G261" s="33"/>
    </row>
    <row r="262" spans="2:7" s="1" customFormat="1" ht="15" customHeight="1">
      <c r="B262" s="137"/>
      <c r="C262" s="15"/>
      <c r="D262" s="134"/>
      <c r="E262" s="27"/>
      <c r="F262" s="37"/>
      <c r="G262" s="33"/>
    </row>
    <row r="263" spans="2:7" s="1" customFormat="1">
      <c r="B263" s="137"/>
      <c r="C263" s="15"/>
      <c r="D263" s="134"/>
      <c r="E263" s="27"/>
      <c r="F263" s="37"/>
      <c r="G263" s="33"/>
    </row>
    <row r="264" spans="2:7" s="1" customFormat="1">
      <c r="B264" s="137"/>
      <c r="C264" s="15"/>
      <c r="D264" s="134"/>
      <c r="E264" s="27"/>
      <c r="F264" s="37"/>
      <c r="G264" s="33"/>
    </row>
    <row r="265" spans="2:7" s="1" customFormat="1">
      <c r="B265" s="142"/>
      <c r="C265" s="140"/>
      <c r="D265" s="104"/>
      <c r="E265" s="135"/>
      <c r="F265" s="139"/>
      <c r="G265" s="27"/>
    </row>
    <row r="266" spans="2:7" s="1" customFormat="1">
      <c r="B266" s="137"/>
      <c r="C266" s="102"/>
      <c r="D266" s="16"/>
      <c r="E266" s="27"/>
      <c r="F266" s="37"/>
      <c r="G266" s="33"/>
    </row>
    <row r="267" spans="2:7" s="1" customFormat="1" ht="29.4" customHeight="1">
      <c r="B267" s="137"/>
      <c r="C267" s="102"/>
      <c r="D267" s="16"/>
      <c r="E267" s="27"/>
      <c r="F267" s="37"/>
      <c r="G267" s="33"/>
    </row>
    <row r="268" spans="2:7" s="1" customFormat="1" ht="31.95" customHeight="1">
      <c r="B268" s="137"/>
      <c r="C268" s="102"/>
      <c r="D268" s="16"/>
      <c r="E268" s="27"/>
      <c r="F268" s="37"/>
      <c r="G268" s="33"/>
    </row>
    <row r="269" spans="2:7" s="1" customFormat="1" ht="22.95" customHeight="1">
      <c r="B269" s="141"/>
      <c r="C269" s="128"/>
      <c r="D269" s="290"/>
      <c r="E269" s="290"/>
    </row>
    <row r="270" spans="2:7" s="1" customFormat="1" ht="21.6" customHeight="1">
      <c r="B270" s="128"/>
      <c r="D270" s="16"/>
      <c r="E270" s="27"/>
      <c r="F270" s="37"/>
      <c r="G270" s="33"/>
    </row>
    <row r="271" spans="2:7" s="1" customFormat="1" ht="25.95" customHeight="1">
      <c r="C271" s="15"/>
      <c r="D271" s="134"/>
      <c r="E271" s="135"/>
      <c r="F271" s="37"/>
      <c r="G271" s="33"/>
    </row>
    <row r="272" spans="2:7" s="1" customFormat="1" ht="22.2" customHeight="1">
      <c r="B272" s="142"/>
      <c r="C272" s="143"/>
      <c r="D272" s="134"/>
      <c r="E272" s="27"/>
      <c r="F272" s="37"/>
      <c r="G272" s="33"/>
    </row>
    <row r="273" spans="2:12" s="1" customFormat="1" ht="22.2" customHeight="1">
      <c r="B273" s="37"/>
      <c r="C273" s="144"/>
      <c r="D273" s="134"/>
      <c r="E273" s="27"/>
      <c r="F273" s="37"/>
      <c r="G273" s="33"/>
    </row>
    <row r="274" spans="2:12" s="1" customFormat="1" ht="24.6" customHeight="1">
      <c r="B274" s="165"/>
      <c r="C274" s="15"/>
      <c r="D274" s="134"/>
      <c r="E274" s="318"/>
      <c r="F274" s="290"/>
      <c r="G274" s="33"/>
    </row>
    <row r="275" spans="2:12" s="1" customFormat="1" ht="24.6" customHeight="1">
      <c r="B275" s="123"/>
      <c r="C275" s="73"/>
      <c r="D275" s="16"/>
      <c r="E275" s="27"/>
      <c r="F275" s="37"/>
      <c r="G275" s="33"/>
    </row>
    <row r="276" spans="2:12" s="1" customFormat="1">
      <c r="B276" s="145"/>
      <c r="D276" s="146"/>
      <c r="E276" s="27"/>
      <c r="F276" s="37"/>
      <c r="G276" s="33"/>
    </row>
    <row r="277" spans="2:12" s="1" customFormat="1">
      <c r="B277" s="145"/>
      <c r="C277" s="15"/>
      <c r="D277" s="146"/>
      <c r="E277" s="27"/>
      <c r="F277" s="37"/>
      <c r="G277" s="33"/>
    </row>
    <row r="278" spans="2:12" s="1" customFormat="1" ht="19.2" customHeight="1">
      <c r="B278" s="145"/>
      <c r="C278" s="15"/>
      <c r="D278" s="146"/>
      <c r="E278" s="27"/>
      <c r="F278" s="37"/>
      <c r="G278" s="33"/>
    </row>
    <row r="279" spans="2:12" s="1" customFormat="1" ht="19.95" customHeight="1">
      <c r="B279" s="133"/>
      <c r="E279" s="27"/>
      <c r="F279" s="37"/>
      <c r="G279" s="33"/>
    </row>
    <row r="280" spans="2:12" s="1" customFormat="1" ht="23.4" customHeight="1">
      <c r="B280" s="33"/>
      <c r="C280" s="15"/>
      <c r="D280" s="134"/>
      <c r="E280" s="135"/>
      <c r="F280" s="37"/>
      <c r="G280" s="33"/>
    </row>
    <row r="281" spans="2:12" s="1" customFormat="1" ht="25.95" customHeight="1">
      <c r="B281" s="33"/>
      <c r="C281" s="13"/>
      <c r="D281" s="134"/>
      <c r="E281" s="27"/>
      <c r="F281" s="37"/>
      <c r="G281" s="33"/>
    </row>
    <row r="282" spans="2:12" s="1" customFormat="1" ht="25.2" customHeight="1">
      <c r="B282" s="106"/>
      <c r="C282" s="15"/>
      <c r="D282" s="134"/>
      <c r="E282" s="27"/>
      <c r="F282" s="37"/>
      <c r="G282" s="33"/>
    </row>
    <row r="283" spans="2:12" s="1" customFormat="1" ht="24" customHeight="1">
      <c r="B283" s="136"/>
      <c r="C283" s="15"/>
      <c r="D283" s="134"/>
      <c r="E283" s="27"/>
      <c r="F283" s="37"/>
      <c r="G283" s="33"/>
    </row>
    <row r="284" spans="2:12" s="1" customFormat="1">
      <c r="B284" s="137"/>
      <c r="C284" s="15"/>
      <c r="D284" s="134"/>
      <c r="E284" s="27"/>
      <c r="F284" s="37"/>
      <c r="G284" s="33"/>
    </row>
    <row r="285" spans="2:12" s="1" customFormat="1">
      <c r="B285" s="137"/>
      <c r="C285" s="15"/>
      <c r="D285" s="134"/>
      <c r="E285" s="27"/>
      <c r="F285" s="37"/>
      <c r="G285" s="33"/>
    </row>
    <row r="286" spans="2:12" s="1" customFormat="1">
      <c r="B286" s="142"/>
      <c r="C286" s="15"/>
      <c r="D286" s="134"/>
      <c r="E286" s="135"/>
      <c r="F286" s="37"/>
      <c r="G286" s="33"/>
      <c r="I286" s="16"/>
      <c r="J286" s="16"/>
      <c r="K286" s="16"/>
      <c r="L286" s="16"/>
    </row>
    <row r="287" spans="2:12" s="1" customFormat="1">
      <c r="B287" s="137"/>
      <c r="C287" s="15"/>
      <c r="D287" s="134"/>
      <c r="E287" s="27"/>
      <c r="F287" s="37"/>
      <c r="G287" s="33"/>
      <c r="I287" s="16"/>
      <c r="J287" s="16"/>
      <c r="K287" s="16"/>
      <c r="L287" s="16"/>
    </row>
    <row r="288" spans="2:12" s="1" customFormat="1">
      <c r="B288" s="137"/>
      <c r="C288" s="15"/>
      <c r="D288" s="147"/>
      <c r="E288" s="27"/>
      <c r="F288" s="37"/>
      <c r="G288" s="33"/>
      <c r="I288" s="343"/>
      <c r="J288" s="290"/>
      <c r="K288" s="290"/>
      <c r="L288" s="16"/>
    </row>
    <row r="289" spans="2:16" s="1" customFormat="1" ht="19.95" customHeight="1">
      <c r="B289" s="137"/>
      <c r="C289" s="15"/>
      <c r="D289" s="134"/>
      <c r="E289" s="27"/>
      <c r="F289" s="139"/>
      <c r="G289" s="33"/>
      <c r="I289" s="290"/>
      <c r="J289" s="290"/>
      <c r="K289" s="290"/>
      <c r="L289" s="16"/>
    </row>
    <row r="290" spans="2:16" s="1" customFormat="1" ht="22.2" customHeight="1">
      <c r="B290" s="142"/>
      <c r="C290" s="15"/>
      <c r="D290" s="134"/>
      <c r="E290" s="135"/>
      <c r="F290" s="148"/>
      <c r="G290" s="33"/>
      <c r="I290" s="290"/>
      <c r="J290" s="290"/>
      <c r="K290" s="290"/>
      <c r="L290" s="16"/>
    </row>
    <row r="291" spans="2:16" s="1" customFormat="1" ht="19.2" customHeight="1">
      <c r="B291" s="137"/>
      <c r="C291" s="102"/>
      <c r="D291" s="149"/>
      <c r="E291" s="27"/>
      <c r="F291" s="37"/>
      <c r="G291" s="33"/>
      <c r="I291" s="290"/>
      <c r="J291" s="290"/>
      <c r="K291" s="290"/>
      <c r="L291" s="16"/>
      <c r="N291" s="16"/>
      <c r="O291" s="16"/>
    </row>
    <row r="292" spans="2:16" s="1" customFormat="1">
      <c r="B292" s="137"/>
      <c r="C292" s="102"/>
      <c r="D292" s="134"/>
      <c r="E292" s="27"/>
      <c r="F292" s="37"/>
      <c r="G292" s="33"/>
      <c r="I292" s="290"/>
      <c r="J292" s="290"/>
      <c r="K292" s="290"/>
      <c r="L292" s="16"/>
      <c r="M292" s="16"/>
      <c r="N292" s="343"/>
      <c r="O292" s="290"/>
      <c r="P292" s="290"/>
    </row>
    <row r="293" spans="2:16" s="1" customFormat="1">
      <c r="B293" s="137"/>
      <c r="C293" s="102"/>
      <c r="D293" s="134"/>
      <c r="E293" s="27"/>
      <c r="F293" s="37"/>
      <c r="G293" s="33"/>
      <c r="I293" s="290"/>
      <c r="J293" s="290"/>
      <c r="K293" s="290"/>
      <c r="L293" s="16"/>
      <c r="M293" s="16"/>
      <c r="N293" s="290"/>
      <c r="O293" s="290"/>
      <c r="P293" s="290"/>
    </row>
    <row r="294" spans="2:16" s="1" customFormat="1" ht="17.399999999999999" customHeight="1">
      <c r="B294" s="141"/>
      <c r="D294" s="320"/>
      <c r="E294" s="290"/>
      <c r="I294" s="290"/>
      <c r="J294" s="290"/>
      <c r="K294" s="290"/>
      <c r="L294" s="16"/>
      <c r="M294" s="16"/>
      <c r="N294" s="290"/>
      <c r="O294" s="290"/>
      <c r="P294" s="290"/>
    </row>
    <row r="295" spans="2:16" s="1" customFormat="1" ht="15" customHeight="1">
      <c r="B295" s="128"/>
      <c r="D295" s="16"/>
      <c r="E295" s="27"/>
      <c r="F295" s="37"/>
      <c r="G295" s="33"/>
      <c r="I295" s="290"/>
      <c r="J295" s="290"/>
      <c r="K295" s="290"/>
      <c r="L295" s="16"/>
      <c r="M295" s="16"/>
      <c r="N295" s="290"/>
      <c r="O295" s="290"/>
      <c r="P295" s="290"/>
    </row>
    <row r="296" spans="2:16" s="1" customFormat="1">
      <c r="B296" s="33"/>
      <c r="C296" s="13"/>
      <c r="D296" s="16"/>
      <c r="E296" s="27"/>
      <c r="F296" s="37"/>
      <c r="G296" s="33"/>
      <c r="I296" s="290"/>
      <c r="J296" s="290"/>
      <c r="K296" s="290"/>
      <c r="L296" s="16"/>
      <c r="M296" s="16"/>
      <c r="N296" s="290"/>
      <c r="O296" s="290"/>
      <c r="P296" s="290"/>
    </row>
    <row r="297" spans="2:16" s="1" customFormat="1">
      <c r="B297" s="142"/>
      <c r="C297" s="143"/>
      <c r="D297" s="134"/>
      <c r="E297" s="27"/>
      <c r="F297" s="37"/>
      <c r="G297" s="33"/>
      <c r="I297" s="16"/>
      <c r="J297" s="16"/>
      <c r="K297" s="16"/>
      <c r="L297" s="16"/>
      <c r="M297" s="16"/>
      <c r="N297" s="290"/>
      <c r="O297" s="290"/>
      <c r="P297" s="290"/>
    </row>
    <row r="298" spans="2:16" s="1" customFormat="1">
      <c r="B298" s="37"/>
      <c r="C298" s="144"/>
      <c r="D298" s="134"/>
      <c r="E298" s="27"/>
      <c r="F298" s="37"/>
      <c r="G298" s="33"/>
      <c r="I298" s="16"/>
      <c r="J298" s="16"/>
      <c r="K298" s="16"/>
      <c r="L298" s="16"/>
      <c r="M298" s="16"/>
      <c r="N298" s="290"/>
      <c r="O298" s="290"/>
      <c r="P298" s="290"/>
    </row>
    <row r="299" spans="2:16" s="1" customFormat="1">
      <c r="B299" s="165"/>
      <c r="C299" s="15"/>
      <c r="D299" s="134"/>
      <c r="E299" s="318"/>
      <c r="F299" s="290"/>
      <c r="G299" s="33"/>
      <c r="M299" s="16"/>
      <c r="N299" s="290"/>
      <c r="O299" s="290"/>
      <c r="P299" s="290"/>
    </row>
    <row r="300" spans="2:16" s="1" customFormat="1">
      <c r="B300" s="123"/>
      <c r="C300" s="73"/>
      <c r="D300" s="16"/>
      <c r="E300" s="37"/>
      <c r="F300" s="37"/>
      <c r="G300" s="33"/>
      <c r="M300" s="16"/>
      <c r="N300" s="290"/>
      <c r="O300" s="290"/>
      <c r="P300" s="290"/>
    </row>
    <row r="301" spans="2:16" s="1" customFormat="1" ht="16.95" customHeight="1">
      <c r="B301" s="145"/>
      <c r="D301" s="146"/>
      <c r="E301" s="27"/>
      <c r="F301" s="37"/>
      <c r="G301" s="33"/>
      <c r="M301" s="16"/>
      <c r="N301" s="290"/>
      <c r="O301" s="290"/>
      <c r="P301" s="290"/>
    </row>
    <row r="302" spans="2:16" s="1" customFormat="1" ht="16.95" customHeight="1">
      <c r="B302" s="133"/>
      <c r="E302" s="27"/>
      <c r="F302" s="37"/>
      <c r="G302" s="33"/>
      <c r="M302" s="16"/>
      <c r="N302" s="290"/>
      <c r="O302" s="290"/>
      <c r="P302" s="290"/>
    </row>
    <row r="303" spans="2:16" s="1" customFormat="1" ht="16.95" customHeight="1">
      <c r="B303" s="133"/>
      <c r="E303" s="27"/>
      <c r="F303" s="37"/>
      <c r="G303" s="33"/>
      <c r="H303" s="80"/>
      <c r="N303" s="290"/>
      <c r="O303" s="290"/>
      <c r="P303" s="290"/>
    </row>
    <row r="304" spans="2:16" s="1" customFormat="1">
      <c r="B304" s="163"/>
      <c r="C304" s="163"/>
      <c r="D304" s="163"/>
      <c r="E304" s="163"/>
      <c r="F304" s="163"/>
      <c r="G304" s="163"/>
      <c r="N304" s="290"/>
      <c r="O304" s="290"/>
      <c r="P304" s="290"/>
    </row>
    <row r="305" spans="2:17" s="1" customFormat="1">
      <c r="B305" s="129"/>
      <c r="C305" s="130"/>
      <c r="D305" s="130"/>
      <c r="E305" s="131"/>
      <c r="F305" s="38"/>
      <c r="G305" s="129"/>
    </row>
    <row r="306" spans="2:17" s="1" customFormat="1">
      <c r="B306" s="150"/>
      <c r="C306" s="41"/>
      <c r="D306" s="41"/>
      <c r="E306" s="151"/>
      <c r="F306" s="152"/>
      <c r="G306" s="132"/>
    </row>
    <row r="307" spans="2:17" s="1" customFormat="1">
      <c r="B307" s="33"/>
      <c r="C307" s="15"/>
      <c r="D307" s="16"/>
      <c r="E307" s="27"/>
      <c r="F307" s="37"/>
      <c r="G307" s="132"/>
    </row>
    <row r="308" spans="2:17" s="1" customFormat="1">
      <c r="B308" s="33"/>
      <c r="E308" s="27"/>
      <c r="F308" s="37"/>
      <c r="G308" s="132"/>
    </row>
    <row r="309" spans="2:17" s="1" customFormat="1">
      <c r="B309" s="33"/>
      <c r="E309" s="27"/>
      <c r="F309" s="37"/>
      <c r="G309" s="132"/>
    </row>
    <row r="310" spans="2:17" s="1" customFormat="1">
      <c r="B310" s="153"/>
      <c r="E310" s="27"/>
      <c r="F310" s="37"/>
      <c r="G310" s="132"/>
      <c r="M310" s="74"/>
      <c r="N310" s="74"/>
      <c r="O310" s="74"/>
      <c r="P310" s="74"/>
      <c r="Q310" s="74"/>
    </row>
    <row r="311" spans="2:17" s="1" customFormat="1">
      <c r="B311" s="128"/>
      <c r="D311" s="16"/>
      <c r="E311" s="27"/>
      <c r="F311" s="37"/>
      <c r="G311" s="90"/>
    </row>
    <row r="312" spans="2:17" s="74" customFormat="1" ht="22.95" customHeight="1">
      <c r="B312" s="33"/>
      <c r="C312" s="13"/>
      <c r="D312" s="1"/>
      <c r="E312" s="27"/>
      <c r="F312" s="37"/>
      <c r="G312" s="90"/>
      <c r="I312" s="1"/>
      <c r="J312" s="1"/>
      <c r="K312" s="1"/>
      <c r="L312" s="1"/>
      <c r="M312" s="1"/>
      <c r="N312" s="1"/>
      <c r="O312" s="1"/>
      <c r="P312" s="1"/>
      <c r="Q312" s="1"/>
    </row>
    <row r="313" spans="2:17" s="1" customFormat="1">
      <c r="B313" s="33"/>
      <c r="C313" s="13"/>
      <c r="E313" s="27"/>
      <c r="F313" s="27"/>
      <c r="G313" s="90"/>
    </row>
    <row r="314" spans="2:17" s="1" customFormat="1">
      <c r="B314" s="33"/>
      <c r="C314" s="15"/>
      <c r="E314" s="27"/>
      <c r="F314" s="37"/>
      <c r="G314" s="90"/>
    </row>
    <row r="315" spans="2:17" s="1" customFormat="1">
      <c r="B315" s="121"/>
      <c r="C315" s="15"/>
      <c r="E315" s="27"/>
      <c r="F315" s="37"/>
      <c r="G315" s="90"/>
    </row>
    <row r="316" spans="2:17" s="1" customFormat="1" ht="13.95" customHeight="1">
      <c r="B316" s="121"/>
      <c r="C316" s="15"/>
      <c r="E316" s="27"/>
      <c r="F316" s="37"/>
      <c r="G316" s="90"/>
    </row>
    <row r="317" spans="2:17" s="1" customFormat="1" ht="16.95" customHeight="1">
      <c r="B317" s="121"/>
      <c r="C317" s="15"/>
      <c r="E317" s="27"/>
      <c r="F317" s="37"/>
      <c r="G317" s="90"/>
    </row>
    <row r="318" spans="2:17" s="1" customFormat="1" ht="16.95" customHeight="1">
      <c r="B318" s="106"/>
      <c r="C318" s="102"/>
      <c r="E318" s="27"/>
      <c r="F318" s="345"/>
      <c r="G318" s="90"/>
    </row>
    <row r="319" spans="2:17" s="1" customFormat="1">
      <c r="B319" s="33"/>
      <c r="C319" s="166"/>
      <c r="E319" s="27"/>
      <c r="F319" s="290"/>
      <c r="G319" s="90"/>
    </row>
    <row r="320" spans="2:17" s="1" customFormat="1">
      <c r="B320" s="33"/>
      <c r="C320" s="102"/>
      <c r="E320" s="27"/>
      <c r="G320" s="33"/>
    </row>
    <row r="321" spans="2:7" s="1" customFormat="1" ht="16.2" customHeight="1">
      <c r="B321" s="33"/>
      <c r="C321" s="15"/>
      <c r="E321" s="27"/>
      <c r="F321" s="154"/>
      <c r="G321" s="33"/>
    </row>
    <row r="322" spans="2:7" s="1" customFormat="1" ht="15" customHeight="1">
      <c r="B322" s="33"/>
      <c r="C322" s="15"/>
      <c r="E322" s="135"/>
      <c r="F322" s="154"/>
      <c r="G322" s="90"/>
    </row>
    <row r="323" spans="2:7" s="1" customFormat="1">
      <c r="B323" s="33"/>
      <c r="C323" s="15"/>
      <c r="E323" s="27"/>
      <c r="F323" s="154"/>
      <c r="G323" s="90"/>
    </row>
    <row r="324" spans="2:7" s="1" customFormat="1">
      <c r="B324" s="106"/>
      <c r="C324" s="96"/>
      <c r="E324" s="27"/>
      <c r="F324" s="139"/>
      <c r="G324" s="90"/>
    </row>
    <row r="325" spans="2:7" s="1" customFormat="1">
      <c r="B325" s="142"/>
      <c r="C325" s="143"/>
      <c r="D325" s="134"/>
      <c r="E325" s="27"/>
      <c r="F325" s="139"/>
      <c r="G325" s="90"/>
    </row>
    <row r="326" spans="2:7" s="1" customFormat="1">
      <c r="B326" s="106"/>
      <c r="C326" s="15"/>
      <c r="D326" s="105"/>
      <c r="E326" s="27"/>
      <c r="F326" s="37"/>
      <c r="G326" s="33"/>
    </row>
    <row r="327" spans="2:7" s="1" customFormat="1" ht="19.2" customHeight="1">
      <c r="B327" s="145"/>
      <c r="C327" s="127"/>
      <c r="E327" s="27"/>
      <c r="F327" s="37"/>
      <c r="G327" s="33"/>
    </row>
    <row r="328" spans="2:7" s="1" customFormat="1">
      <c r="B328" s="33"/>
      <c r="E328" s="27"/>
      <c r="F328" s="37"/>
      <c r="G328" s="33"/>
    </row>
    <row r="329" spans="2:7" s="1" customFormat="1">
      <c r="B329" s="163"/>
      <c r="C329" s="163"/>
      <c r="D329" s="163"/>
      <c r="E329" s="163"/>
      <c r="F329" s="163"/>
      <c r="G329" s="163"/>
    </row>
    <row r="330" spans="2:7" s="1" customFormat="1">
      <c r="B330" s="129"/>
      <c r="C330" s="130"/>
      <c r="D330" s="130"/>
      <c r="E330" s="131"/>
      <c r="F330" s="38"/>
      <c r="G330" s="129"/>
    </row>
    <row r="331" spans="2:7" s="1" customFormat="1">
      <c r="B331" s="150"/>
      <c r="C331" s="41"/>
      <c r="D331" s="41"/>
      <c r="E331" s="151"/>
      <c r="F331" s="152"/>
      <c r="G331" s="344"/>
    </row>
    <row r="332" spans="2:7" s="1" customFormat="1">
      <c r="B332" s="33"/>
      <c r="C332" s="15"/>
      <c r="D332" s="16"/>
      <c r="E332" s="27"/>
      <c r="F332" s="37"/>
      <c r="G332" s="290"/>
    </row>
    <row r="333" spans="2:7" s="1" customFormat="1" ht="22.95" customHeight="1">
      <c r="B333" s="33"/>
      <c r="E333" s="27"/>
      <c r="F333" s="37"/>
      <c r="G333" s="290"/>
    </row>
    <row r="334" spans="2:7" s="1" customFormat="1" ht="18.600000000000001" customHeight="1">
      <c r="B334" s="33"/>
      <c r="E334" s="27"/>
      <c r="F334" s="37"/>
      <c r="G334" s="290"/>
    </row>
    <row r="335" spans="2:7" s="1" customFormat="1" ht="20.399999999999999" customHeight="1">
      <c r="B335" s="128"/>
      <c r="D335" s="16"/>
      <c r="E335" s="27"/>
      <c r="F335" s="37"/>
      <c r="G335" s="90"/>
    </row>
    <row r="336" spans="2:7" s="1" customFormat="1" ht="19.2" customHeight="1">
      <c r="B336" s="33"/>
      <c r="C336" s="15"/>
      <c r="E336" s="27"/>
      <c r="F336" s="37"/>
      <c r="G336" s="317"/>
    </row>
    <row r="337" spans="2:7" s="1" customFormat="1" ht="22.95" customHeight="1">
      <c r="B337" s="33"/>
      <c r="C337" s="15"/>
      <c r="E337" s="27"/>
      <c r="F337" s="37"/>
      <c r="G337" s="290"/>
    </row>
    <row r="338" spans="2:7" s="1" customFormat="1">
      <c r="B338" s="33"/>
      <c r="C338" s="15"/>
      <c r="E338" s="27"/>
      <c r="F338" s="37"/>
      <c r="G338" s="290"/>
    </row>
    <row r="339" spans="2:7" s="1" customFormat="1">
      <c r="B339" s="121"/>
      <c r="C339" s="15"/>
      <c r="E339" s="27"/>
      <c r="F339" s="37"/>
      <c r="G339" s="290"/>
    </row>
    <row r="340" spans="2:7" s="1" customFormat="1">
      <c r="B340" s="121"/>
      <c r="C340" s="15"/>
      <c r="E340" s="27"/>
      <c r="F340" s="37"/>
      <c r="G340" s="290"/>
    </row>
    <row r="341" spans="2:7" s="1" customFormat="1">
      <c r="B341" s="121"/>
      <c r="C341" s="15"/>
      <c r="E341" s="27"/>
      <c r="F341" s="37"/>
      <c r="G341" s="290"/>
    </row>
    <row r="342" spans="2:7" s="1" customFormat="1">
      <c r="B342" s="106"/>
      <c r="C342" s="102"/>
      <c r="E342" s="27"/>
      <c r="F342" s="345"/>
      <c r="G342" s="290"/>
    </row>
    <row r="343" spans="2:7" s="1" customFormat="1">
      <c r="B343" s="33"/>
      <c r="C343" s="166"/>
      <c r="E343" s="27"/>
      <c r="F343" s="290"/>
      <c r="G343" s="290"/>
    </row>
    <row r="344" spans="2:7" s="1" customFormat="1">
      <c r="B344" s="33"/>
      <c r="C344" s="102"/>
      <c r="E344" s="27"/>
      <c r="G344" s="33"/>
    </row>
    <row r="345" spans="2:7" s="1" customFormat="1">
      <c r="B345" s="33"/>
      <c r="C345" s="15"/>
      <c r="E345" s="27"/>
      <c r="F345" s="154"/>
      <c r="G345" s="33"/>
    </row>
    <row r="346" spans="2:7" s="1" customFormat="1" ht="18.600000000000001" customHeight="1">
      <c r="B346" s="33"/>
      <c r="C346" s="15"/>
      <c r="E346" s="135"/>
      <c r="F346" s="154"/>
      <c r="G346" s="313"/>
    </row>
    <row r="347" spans="2:7" s="1" customFormat="1" ht="15.6" customHeight="1">
      <c r="B347" s="33"/>
      <c r="C347" s="15"/>
      <c r="E347" s="27"/>
      <c r="F347" s="154"/>
      <c r="G347" s="290"/>
    </row>
    <row r="348" spans="2:7" s="1" customFormat="1">
      <c r="B348" s="106"/>
      <c r="C348" s="96"/>
      <c r="E348" s="27"/>
      <c r="F348" s="139"/>
      <c r="G348" s="290"/>
    </row>
    <row r="349" spans="2:7" s="1" customFormat="1">
      <c r="B349" s="142"/>
      <c r="C349" s="143"/>
      <c r="D349" s="134"/>
      <c r="E349" s="27"/>
      <c r="F349" s="139"/>
      <c r="G349" s="90"/>
    </row>
    <row r="350" spans="2:7" s="1" customFormat="1">
      <c r="B350" s="106"/>
      <c r="C350" s="15"/>
      <c r="D350" s="105"/>
      <c r="E350" s="27"/>
      <c r="F350" s="37"/>
      <c r="G350" s="33"/>
    </row>
    <row r="351" spans="2:7" s="1" customFormat="1" ht="18" customHeight="1">
      <c r="B351" s="145"/>
      <c r="C351" s="127"/>
      <c r="E351" s="27"/>
      <c r="F351" s="37"/>
      <c r="G351" s="33"/>
    </row>
    <row r="352" spans="2:7" s="1" customFormat="1">
      <c r="B352" s="33"/>
      <c r="E352" s="27"/>
      <c r="F352" s="37"/>
      <c r="G352" s="33"/>
    </row>
    <row r="353" spans="2:16" s="1" customFormat="1">
      <c r="B353" s="33"/>
      <c r="E353" s="27"/>
      <c r="F353" s="37"/>
      <c r="G353" s="33"/>
    </row>
    <row r="354" spans="2:16" s="1" customFormat="1">
      <c r="B354" s="33"/>
      <c r="E354" s="27"/>
      <c r="F354" s="37"/>
      <c r="G354" s="33"/>
    </row>
    <row r="355" spans="2:16" s="1" customFormat="1">
      <c r="B355" s="33"/>
      <c r="E355" s="27"/>
      <c r="F355" s="37"/>
      <c r="G355" s="33"/>
    </row>
    <row r="356" spans="2:16" s="1" customFormat="1">
      <c r="B356" s="33"/>
      <c r="E356" s="27"/>
      <c r="F356" s="37"/>
      <c r="G356" s="33"/>
    </row>
    <row r="357" spans="2:16" s="1" customFormat="1">
      <c r="B357" s="33"/>
      <c r="E357" s="27"/>
      <c r="F357" s="37"/>
      <c r="G357" s="33"/>
    </row>
    <row r="358" spans="2:16" s="1" customFormat="1">
      <c r="B358" s="33"/>
      <c r="E358" s="27"/>
      <c r="F358" s="37"/>
      <c r="G358" s="33"/>
    </row>
    <row r="359" spans="2:16" s="1" customFormat="1">
      <c r="B359" s="33"/>
      <c r="E359" s="27"/>
      <c r="F359" s="37"/>
      <c r="G359" s="33"/>
      <c r="N359" s="11"/>
      <c r="O359" s="11"/>
      <c r="P359" s="16"/>
    </row>
    <row r="360" spans="2:16" s="1" customFormat="1" ht="20.399999999999999" customHeight="1">
      <c r="B360" s="33"/>
      <c r="E360" s="27"/>
      <c r="F360" s="37"/>
      <c r="G360" s="33"/>
      <c r="N360" s="11"/>
      <c r="O360" s="11"/>
      <c r="P360" s="16"/>
    </row>
    <row r="361" spans="2:16" s="1" customFormat="1" ht="18.600000000000001" customHeight="1">
      <c r="B361" s="33"/>
      <c r="E361" s="27"/>
      <c r="F361" s="37"/>
      <c r="G361" s="33"/>
      <c r="N361" s="11"/>
      <c r="O361" s="11"/>
      <c r="P361" s="16"/>
    </row>
    <row r="362" spans="2:16" s="1" customFormat="1" ht="18.600000000000001" customHeight="1">
      <c r="B362" s="33"/>
      <c r="E362" s="27"/>
      <c r="F362" s="37"/>
      <c r="G362" s="33"/>
      <c r="N362" s="11"/>
      <c r="O362" s="11"/>
      <c r="P362" s="16"/>
    </row>
    <row r="363" spans="2:16" s="1" customFormat="1" ht="18.600000000000001" customHeight="1">
      <c r="B363" s="33"/>
      <c r="E363" s="27"/>
      <c r="F363" s="37"/>
      <c r="G363" s="33"/>
      <c r="N363" s="11"/>
      <c r="O363" s="11"/>
      <c r="P363" s="16"/>
    </row>
    <row r="364" spans="2:16" s="1" customFormat="1" ht="18.600000000000001" customHeight="1">
      <c r="B364" s="33"/>
      <c r="E364" s="27"/>
      <c r="F364" s="37"/>
      <c r="G364" s="33"/>
    </row>
    <row r="365" spans="2:16" s="1" customFormat="1" ht="18.600000000000001" customHeight="1">
      <c r="B365" s="33"/>
      <c r="E365" s="27"/>
      <c r="F365" s="37"/>
      <c r="G365" s="33"/>
    </row>
    <row r="366" spans="2:16" s="1" customFormat="1" ht="16.95" customHeight="1">
      <c r="B366" s="33"/>
      <c r="E366" s="27"/>
      <c r="F366" s="37"/>
      <c r="G366" s="33"/>
    </row>
    <row r="367" spans="2:16" s="1" customFormat="1" ht="16.2" customHeight="1">
      <c r="B367" s="33"/>
      <c r="E367" s="27"/>
      <c r="F367" s="37"/>
      <c r="G367" s="33"/>
    </row>
    <row r="368" spans="2:16" s="1" customFormat="1" ht="26.4" customHeight="1">
      <c r="B368" s="33"/>
      <c r="E368" s="27"/>
      <c r="F368" s="37"/>
      <c r="G368" s="33"/>
    </row>
    <row r="369" spans="2:16" s="1" customFormat="1" ht="15" customHeight="1">
      <c r="B369" s="33"/>
      <c r="E369" s="27"/>
      <c r="F369" s="37"/>
      <c r="G369" s="33"/>
    </row>
    <row r="370" spans="2:16" s="1" customFormat="1">
      <c r="B370" s="33"/>
      <c r="E370" s="27"/>
      <c r="F370" s="37"/>
      <c r="G370" s="33"/>
    </row>
    <row r="371" spans="2:16" s="1" customFormat="1">
      <c r="B371" s="33"/>
      <c r="E371" s="27"/>
      <c r="F371" s="37"/>
      <c r="G371" s="33"/>
      <c r="N371" s="11"/>
      <c r="O371" s="11"/>
      <c r="P371" s="16"/>
    </row>
    <row r="372" spans="2:16" s="1" customFormat="1">
      <c r="B372" s="33"/>
      <c r="E372" s="27"/>
      <c r="F372" s="37"/>
      <c r="G372" s="33"/>
    </row>
    <row r="373" spans="2:16" s="1" customFormat="1">
      <c r="B373" s="33"/>
      <c r="E373" s="27"/>
      <c r="F373" s="37"/>
      <c r="G373" s="33"/>
    </row>
    <row r="374" spans="2:16" s="1" customFormat="1" ht="13.2" customHeight="1">
      <c r="B374" s="33"/>
      <c r="E374" s="27"/>
      <c r="F374" s="37"/>
      <c r="G374" s="33"/>
    </row>
    <row r="375" spans="2:16" s="1" customFormat="1" ht="16.2" customHeight="1">
      <c r="B375" s="33"/>
      <c r="E375" s="27"/>
      <c r="F375" s="37"/>
      <c r="G375" s="33"/>
    </row>
    <row r="376" spans="2:16" s="1" customFormat="1" ht="14.4" customHeight="1">
      <c r="B376" s="33"/>
      <c r="E376" s="27"/>
      <c r="F376" s="37"/>
      <c r="G376" s="33"/>
    </row>
    <row r="377" spans="2:16" s="1" customFormat="1">
      <c r="B377" s="33"/>
      <c r="E377" s="27"/>
      <c r="F377" s="37"/>
      <c r="G377" s="33"/>
    </row>
    <row r="378" spans="2:16" s="1" customFormat="1">
      <c r="B378" s="33"/>
      <c r="E378" s="27"/>
      <c r="F378" s="37"/>
      <c r="G378" s="33"/>
    </row>
    <row r="379" spans="2:16" s="1" customFormat="1">
      <c r="B379" s="33"/>
      <c r="E379" s="27"/>
      <c r="F379" s="37"/>
      <c r="G379" s="33"/>
    </row>
    <row r="380" spans="2:16" s="1" customFormat="1">
      <c r="B380" s="33"/>
      <c r="E380" s="27"/>
      <c r="F380" s="37"/>
      <c r="G380" s="33"/>
    </row>
    <row r="381" spans="2:16" s="1" customFormat="1">
      <c r="B381" s="33"/>
      <c r="E381" s="27"/>
      <c r="F381" s="37"/>
      <c r="G381" s="33"/>
    </row>
    <row r="382" spans="2:16" s="1" customFormat="1">
      <c r="B382" s="33"/>
      <c r="E382" s="27"/>
      <c r="F382" s="37"/>
      <c r="G382" s="33"/>
    </row>
    <row r="383" spans="2:16" s="1" customFormat="1">
      <c r="B383" s="33"/>
      <c r="E383" s="27"/>
      <c r="F383" s="37"/>
      <c r="G383" s="33"/>
    </row>
    <row r="384" spans="2:16" s="1" customFormat="1">
      <c r="B384" s="33"/>
      <c r="E384" s="27"/>
      <c r="F384" s="37"/>
      <c r="G384" s="33"/>
    </row>
    <row r="385" spans="2:7" s="1" customFormat="1">
      <c r="B385" s="33"/>
      <c r="E385" s="27"/>
      <c r="F385" s="37"/>
      <c r="G385" s="33"/>
    </row>
    <row r="386" spans="2:7" s="1" customFormat="1">
      <c r="B386" s="33"/>
      <c r="E386" s="27"/>
      <c r="F386" s="37"/>
      <c r="G386" s="33"/>
    </row>
    <row r="387" spans="2:7" s="1" customFormat="1">
      <c r="B387" s="33"/>
      <c r="E387" s="27"/>
      <c r="F387" s="37"/>
      <c r="G387" s="33"/>
    </row>
    <row r="388" spans="2:7" s="1" customFormat="1">
      <c r="B388" s="33"/>
      <c r="E388" s="27"/>
      <c r="F388" s="37"/>
      <c r="G388" s="33"/>
    </row>
    <row r="389" spans="2:7" s="1" customFormat="1">
      <c r="B389" s="33"/>
      <c r="E389" s="27"/>
      <c r="F389" s="37"/>
      <c r="G389" s="33"/>
    </row>
    <row r="390" spans="2:7" s="1" customFormat="1">
      <c r="B390" s="33"/>
      <c r="E390" s="27"/>
      <c r="F390" s="37"/>
      <c r="G390" s="33"/>
    </row>
    <row r="391" spans="2:7" s="1" customFormat="1">
      <c r="B391" s="33"/>
      <c r="E391" s="27"/>
      <c r="F391" s="37"/>
      <c r="G391" s="33"/>
    </row>
    <row r="392" spans="2:7" s="1" customFormat="1">
      <c r="B392" s="33"/>
      <c r="E392" s="27"/>
      <c r="F392" s="37"/>
      <c r="G392" s="33"/>
    </row>
    <row r="393" spans="2:7" s="1" customFormat="1">
      <c r="B393" s="33"/>
      <c r="E393" s="27"/>
      <c r="F393" s="37"/>
      <c r="G393" s="33"/>
    </row>
    <row r="394" spans="2:7" s="1" customFormat="1">
      <c r="B394" s="33"/>
      <c r="E394" s="27"/>
      <c r="F394" s="37"/>
      <c r="G394" s="33"/>
    </row>
    <row r="395" spans="2:7" s="1" customFormat="1">
      <c r="B395" s="33"/>
      <c r="E395" s="27"/>
      <c r="F395" s="37"/>
      <c r="G395" s="33"/>
    </row>
    <row r="396" spans="2:7" s="1" customFormat="1">
      <c r="B396" s="33"/>
      <c r="E396" s="27"/>
      <c r="F396" s="37"/>
      <c r="G396" s="33"/>
    </row>
    <row r="397" spans="2:7" s="1" customFormat="1">
      <c r="B397" s="33"/>
      <c r="E397" s="27"/>
      <c r="F397" s="37"/>
      <c r="G397" s="33"/>
    </row>
    <row r="398" spans="2:7" s="1" customFormat="1">
      <c r="B398" s="33"/>
      <c r="E398" s="27"/>
      <c r="F398" s="37"/>
      <c r="G398" s="33"/>
    </row>
    <row r="399" spans="2:7" s="1" customFormat="1">
      <c r="B399" s="33"/>
      <c r="E399" s="27"/>
      <c r="F399" s="37"/>
      <c r="G399" s="33"/>
    </row>
    <row r="400" spans="2:7" s="1" customFormat="1">
      <c r="B400" s="33"/>
      <c r="E400" s="27"/>
      <c r="F400" s="37"/>
      <c r="G400" s="33"/>
    </row>
    <row r="401" spans="2:7" s="1" customFormat="1">
      <c r="B401" s="33"/>
      <c r="E401" s="27"/>
      <c r="F401" s="37"/>
      <c r="G401" s="33"/>
    </row>
    <row r="402" spans="2:7" s="1" customFormat="1">
      <c r="B402" s="33"/>
      <c r="E402" s="27"/>
      <c r="F402" s="37"/>
      <c r="G402" s="33"/>
    </row>
    <row r="403" spans="2:7" s="1" customFormat="1">
      <c r="B403" s="33"/>
      <c r="E403" s="27"/>
      <c r="F403" s="37"/>
      <c r="G403" s="33"/>
    </row>
    <row r="404" spans="2:7" s="1" customFormat="1">
      <c r="B404" s="33"/>
      <c r="E404" s="27"/>
      <c r="F404" s="37"/>
      <c r="G404" s="33"/>
    </row>
    <row r="405" spans="2:7" s="1" customFormat="1">
      <c r="B405" s="33"/>
      <c r="E405" s="27"/>
      <c r="F405" s="37"/>
      <c r="G405" s="33"/>
    </row>
    <row r="406" spans="2:7" s="1" customFormat="1">
      <c r="B406" s="33"/>
      <c r="E406" s="27"/>
      <c r="F406" s="37"/>
      <c r="G406" s="33"/>
    </row>
    <row r="407" spans="2:7" s="1" customFormat="1">
      <c r="B407" s="33"/>
      <c r="E407" s="27"/>
      <c r="F407" s="37"/>
      <c r="G407" s="33"/>
    </row>
    <row r="408" spans="2:7" s="1" customFormat="1">
      <c r="B408" s="33"/>
      <c r="E408" s="27"/>
      <c r="F408" s="37"/>
      <c r="G408" s="33"/>
    </row>
    <row r="409" spans="2:7" s="1" customFormat="1">
      <c r="B409" s="33"/>
      <c r="E409" s="27"/>
      <c r="F409" s="37"/>
      <c r="G409" s="33"/>
    </row>
    <row r="410" spans="2:7" s="1" customFormat="1">
      <c r="B410" s="33"/>
      <c r="E410" s="27"/>
      <c r="F410" s="37"/>
      <c r="G410" s="33"/>
    </row>
    <row r="411" spans="2:7" s="1" customFormat="1">
      <c r="B411" s="33"/>
      <c r="E411" s="27"/>
      <c r="F411" s="37"/>
      <c r="G411" s="33"/>
    </row>
    <row r="412" spans="2:7" s="1" customFormat="1">
      <c r="B412" s="33"/>
      <c r="E412" s="27"/>
      <c r="F412" s="37"/>
      <c r="G412" s="33"/>
    </row>
    <row r="413" spans="2:7" s="1" customFormat="1">
      <c r="B413" s="33"/>
      <c r="E413" s="27"/>
      <c r="F413" s="37"/>
      <c r="G413" s="33"/>
    </row>
    <row r="414" spans="2:7" s="1" customFormat="1">
      <c r="B414" s="33"/>
      <c r="E414" s="27"/>
      <c r="F414" s="37"/>
      <c r="G414" s="33"/>
    </row>
    <row r="415" spans="2:7" s="1" customFormat="1">
      <c r="B415" s="33"/>
      <c r="E415" s="27"/>
      <c r="F415" s="37"/>
      <c r="G415" s="33"/>
    </row>
    <row r="416" spans="2:7" s="1" customFormat="1">
      <c r="B416" s="33"/>
      <c r="E416" s="27"/>
      <c r="F416" s="37"/>
      <c r="G416" s="33"/>
    </row>
    <row r="417" spans="2:7" s="1" customFormat="1">
      <c r="B417" s="33"/>
      <c r="E417" s="27"/>
      <c r="F417" s="37"/>
      <c r="G417" s="33"/>
    </row>
    <row r="418" spans="2:7" s="1" customFormat="1">
      <c r="B418" s="33"/>
      <c r="E418" s="27"/>
      <c r="F418" s="37"/>
      <c r="G418" s="33"/>
    </row>
    <row r="419" spans="2:7" s="1" customFormat="1">
      <c r="B419" s="33"/>
      <c r="E419" s="27"/>
      <c r="F419" s="37"/>
      <c r="G419" s="33"/>
    </row>
    <row r="420" spans="2:7" s="1" customFormat="1">
      <c r="B420" s="33"/>
      <c r="E420" s="27"/>
      <c r="F420" s="37"/>
      <c r="G420" s="33"/>
    </row>
    <row r="421" spans="2:7" s="1" customFormat="1">
      <c r="B421" s="33"/>
      <c r="E421" s="27"/>
      <c r="F421" s="37"/>
      <c r="G421" s="33"/>
    </row>
    <row r="422" spans="2:7" s="1" customFormat="1">
      <c r="B422" s="33"/>
      <c r="E422" s="27"/>
      <c r="F422" s="37"/>
      <c r="G422" s="33"/>
    </row>
    <row r="423" spans="2:7" s="1" customFormat="1">
      <c r="B423" s="33"/>
      <c r="E423" s="27"/>
      <c r="F423" s="37"/>
      <c r="G423" s="33"/>
    </row>
    <row r="424" spans="2:7" s="1" customFormat="1">
      <c r="B424" s="33"/>
      <c r="E424" s="27"/>
      <c r="F424" s="37"/>
      <c r="G424" s="33"/>
    </row>
    <row r="425" spans="2:7" s="1" customFormat="1">
      <c r="B425" s="33"/>
      <c r="E425" s="27"/>
      <c r="F425" s="37"/>
      <c r="G425" s="33"/>
    </row>
    <row r="426" spans="2:7" s="1" customFormat="1">
      <c r="B426" s="33"/>
      <c r="E426" s="27"/>
      <c r="F426" s="37"/>
      <c r="G426" s="33"/>
    </row>
    <row r="427" spans="2:7" s="1" customFormat="1">
      <c r="B427" s="33"/>
      <c r="E427" s="27"/>
      <c r="F427" s="37"/>
      <c r="G427" s="33"/>
    </row>
    <row r="428" spans="2:7" s="1" customFormat="1">
      <c r="B428" s="33"/>
      <c r="E428" s="27"/>
      <c r="F428" s="37"/>
      <c r="G428" s="33"/>
    </row>
    <row r="429" spans="2:7" s="1" customFormat="1">
      <c r="B429" s="33"/>
      <c r="E429" s="27"/>
      <c r="F429" s="37"/>
      <c r="G429" s="33"/>
    </row>
    <row r="430" spans="2:7" s="1" customFormat="1">
      <c r="B430" s="33"/>
      <c r="E430" s="27"/>
      <c r="F430" s="37"/>
      <c r="G430" s="33"/>
    </row>
    <row r="431" spans="2:7" s="1" customFormat="1">
      <c r="B431" s="33"/>
      <c r="E431" s="27"/>
      <c r="F431" s="37"/>
      <c r="G431" s="33"/>
    </row>
    <row r="432" spans="2:7" s="1" customFormat="1">
      <c r="B432" s="33"/>
      <c r="E432" s="27"/>
      <c r="F432" s="37"/>
      <c r="G432" s="33"/>
    </row>
    <row r="433" spans="2:7" s="1" customFormat="1">
      <c r="B433" s="33"/>
      <c r="E433" s="27"/>
      <c r="F433" s="37"/>
      <c r="G433" s="33"/>
    </row>
    <row r="434" spans="2:7" s="1" customFormat="1">
      <c r="B434" s="33"/>
      <c r="E434" s="27"/>
      <c r="F434" s="37"/>
      <c r="G434" s="33"/>
    </row>
    <row r="435" spans="2:7" s="1" customFormat="1">
      <c r="B435" s="33"/>
      <c r="E435" s="27"/>
      <c r="F435" s="37"/>
      <c r="G435" s="33"/>
    </row>
    <row r="436" spans="2:7" s="1" customFormat="1">
      <c r="B436" s="33"/>
      <c r="E436" s="27"/>
      <c r="F436" s="37"/>
      <c r="G436" s="33"/>
    </row>
    <row r="437" spans="2:7" s="1" customFormat="1">
      <c r="B437" s="33"/>
      <c r="E437" s="27"/>
      <c r="F437" s="37"/>
      <c r="G437" s="33"/>
    </row>
    <row r="438" spans="2:7" s="1" customFormat="1">
      <c r="B438" s="33"/>
      <c r="E438" s="27"/>
      <c r="F438" s="37"/>
      <c r="G438" s="33"/>
    </row>
    <row r="439" spans="2:7" s="1" customFormat="1">
      <c r="B439" s="33"/>
      <c r="E439" s="27"/>
      <c r="F439" s="37"/>
      <c r="G439" s="33"/>
    </row>
    <row r="440" spans="2:7" s="1" customFormat="1">
      <c r="B440" s="33"/>
      <c r="E440" s="27"/>
      <c r="F440" s="37"/>
      <c r="G440" s="33"/>
    </row>
    <row r="441" spans="2:7" s="1" customFormat="1">
      <c r="B441" s="33"/>
      <c r="E441" s="27"/>
      <c r="F441" s="37"/>
      <c r="G441" s="33"/>
    </row>
    <row r="442" spans="2:7" s="1" customFormat="1">
      <c r="B442" s="33"/>
      <c r="E442" s="27"/>
      <c r="F442" s="37"/>
      <c r="G442" s="33"/>
    </row>
    <row r="443" spans="2:7" s="1" customFormat="1">
      <c r="B443" s="33"/>
      <c r="E443" s="27"/>
      <c r="F443" s="37"/>
      <c r="G443" s="33"/>
    </row>
    <row r="444" spans="2:7" s="1" customFormat="1">
      <c r="B444" s="33"/>
      <c r="E444" s="27"/>
      <c r="F444" s="37"/>
      <c r="G444" s="33"/>
    </row>
    <row r="445" spans="2:7" s="1" customFormat="1">
      <c r="B445" s="33"/>
      <c r="E445" s="27"/>
      <c r="F445" s="37"/>
      <c r="G445" s="33"/>
    </row>
    <row r="446" spans="2:7" s="1" customFormat="1">
      <c r="B446" s="33"/>
      <c r="E446" s="27"/>
      <c r="F446" s="37"/>
      <c r="G446" s="33"/>
    </row>
    <row r="447" spans="2:7" s="1" customFormat="1">
      <c r="B447" s="33"/>
      <c r="E447" s="27"/>
      <c r="F447" s="37"/>
      <c r="G447" s="33"/>
    </row>
    <row r="448" spans="2:7" s="1" customFormat="1">
      <c r="B448" s="33"/>
      <c r="E448" s="27"/>
      <c r="F448" s="37"/>
      <c r="G448" s="33"/>
    </row>
    <row r="449" spans="2:7" s="1" customFormat="1">
      <c r="B449" s="33"/>
      <c r="E449" s="27"/>
      <c r="F449" s="37"/>
      <c r="G449" s="33"/>
    </row>
    <row r="450" spans="2:7" s="1" customFormat="1">
      <c r="B450" s="33"/>
      <c r="E450" s="27"/>
      <c r="F450" s="37"/>
      <c r="G450" s="33"/>
    </row>
    <row r="451" spans="2:7" s="1" customFormat="1">
      <c r="B451" s="33"/>
      <c r="E451" s="27"/>
      <c r="F451" s="37"/>
      <c r="G451" s="33"/>
    </row>
    <row r="452" spans="2:7" s="1" customFormat="1">
      <c r="B452" s="33"/>
      <c r="E452" s="27"/>
      <c r="F452" s="37"/>
      <c r="G452" s="33"/>
    </row>
    <row r="453" spans="2:7" s="1" customFormat="1">
      <c r="B453" s="33"/>
      <c r="E453" s="27"/>
      <c r="F453" s="37"/>
      <c r="G453" s="33"/>
    </row>
    <row r="454" spans="2:7" s="1" customFormat="1">
      <c r="B454" s="33"/>
      <c r="E454" s="27"/>
      <c r="F454" s="37"/>
      <c r="G454" s="33"/>
    </row>
    <row r="455" spans="2:7" s="1" customFormat="1">
      <c r="B455" s="33"/>
      <c r="E455" s="27"/>
      <c r="F455" s="37"/>
      <c r="G455" s="33"/>
    </row>
    <row r="456" spans="2:7" s="1" customFormat="1">
      <c r="B456" s="33"/>
      <c r="E456" s="27"/>
      <c r="F456" s="37"/>
      <c r="G456" s="33"/>
    </row>
    <row r="457" spans="2:7" s="1" customFormat="1">
      <c r="B457" s="33"/>
      <c r="E457" s="27"/>
      <c r="F457" s="37"/>
      <c r="G457" s="33"/>
    </row>
    <row r="458" spans="2:7" s="1" customFormat="1">
      <c r="B458" s="33"/>
      <c r="E458" s="27"/>
      <c r="F458" s="37"/>
      <c r="G458" s="33"/>
    </row>
    <row r="459" spans="2:7" s="1" customFormat="1">
      <c r="B459" s="33"/>
      <c r="E459" s="27"/>
      <c r="F459" s="37"/>
      <c r="G459" s="33"/>
    </row>
    <row r="460" spans="2:7" s="1" customFormat="1">
      <c r="B460" s="33"/>
      <c r="E460" s="27"/>
      <c r="F460" s="37"/>
      <c r="G460" s="33"/>
    </row>
    <row r="461" spans="2:7" s="1" customFormat="1">
      <c r="B461" s="33"/>
      <c r="E461" s="27"/>
      <c r="F461" s="37"/>
      <c r="G461" s="33"/>
    </row>
    <row r="462" spans="2:7" s="1" customFormat="1">
      <c r="B462" s="33"/>
      <c r="E462" s="27"/>
      <c r="F462" s="37"/>
      <c r="G462" s="33"/>
    </row>
    <row r="463" spans="2:7" s="1" customFormat="1">
      <c r="B463" s="33"/>
      <c r="E463" s="27"/>
      <c r="F463" s="37"/>
      <c r="G463" s="33"/>
    </row>
    <row r="464" spans="2:7" s="1" customFormat="1">
      <c r="B464" s="33"/>
      <c r="E464" s="27"/>
      <c r="F464" s="37"/>
      <c r="G464" s="33"/>
    </row>
    <row r="465" spans="2:7" s="1" customFormat="1">
      <c r="B465" s="33"/>
      <c r="E465" s="27"/>
      <c r="F465" s="37"/>
      <c r="G465" s="33"/>
    </row>
    <row r="466" spans="2:7" s="1" customFormat="1">
      <c r="B466" s="33"/>
      <c r="E466" s="27"/>
      <c r="F466" s="37"/>
      <c r="G466" s="33"/>
    </row>
    <row r="467" spans="2:7" s="1" customFormat="1">
      <c r="B467" s="33"/>
      <c r="E467" s="27"/>
      <c r="F467" s="37"/>
      <c r="G467" s="33"/>
    </row>
    <row r="468" spans="2:7" s="1" customFormat="1">
      <c r="B468" s="33"/>
      <c r="E468" s="27"/>
      <c r="F468" s="37"/>
      <c r="G468" s="33"/>
    </row>
    <row r="469" spans="2:7" s="1" customFormat="1">
      <c r="B469" s="33"/>
      <c r="E469" s="27"/>
      <c r="F469" s="37"/>
      <c r="G469" s="33"/>
    </row>
    <row r="470" spans="2:7" s="1" customFormat="1">
      <c r="B470" s="33"/>
      <c r="E470" s="27"/>
      <c r="F470" s="37"/>
      <c r="G470" s="33"/>
    </row>
    <row r="471" spans="2:7" s="1" customFormat="1">
      <c r="B471" s="33"/>
      <c r="E471" s="27"/>
      <c r="F471" s="37"/>
      <c r="G471" s="33"/>
    </row>
    <row r="472" spans="2:7" s="1" customFormat="1">
      <c r="B472" s="33"/>
      <c r="E472" s="27"/>
      <c r="F472" s="37"/>
      <c r="G472" s="33"/>
    </row>
    <row r="473" spans="2:7" s="1" customFormat="1">
      <c r="B473" s="33"/>
      <c r="E473" s="27"/>
      <c r="F473" s="37"/>
      <c r="G473" s="33"/>
    </row>
    <row r="474" spans="2:7" s="1" customFormat="1">
      <c r="B474" s="33"/>
      <c r="E474" s="27"/>
      <c r="F474" s="37"/>
      <c r="G474" s="33"/>
    </row>
    <row r="475" spans="2:7" s="1" customFormat="1">
      <c r="B475" s="33"/>
      <c r="E475" s="27"/>
      <c r="F475" s="37"/>
      <c r="G475" s="33"/>
    </row>
    <row r="476" spans="2:7" s="1" customFormat="1">
      <c r="B476" s="33"/>
      <c r="E476" s="27"/>
      <c r="F476" s="37"/>
      <c r="G476" s="33"/>
    </row>
    <row r="477" spans="2:7" s="1" customFormat="1">
      <c r="B477" s="33"/>
      <c r="E477" s="27"/>
      <c r="F477" s="37"/>
      <c r="G477" s="33"/>
    </row>
    <row r="478" spans="2:7" s="1" customFormat="1">
      <c r="B478" s="33"/>
      <c r="E478" s="27"/>
      <c r="F478" s="37"/>
      <c r="G478" s="33"/>
    </row>
    <row r="479" spans="2:7" s="1" customFormat="1">
      <c r="B479" s="33"/>
      <c r="E479" s="27"/>
      <c r="F479" s="37"/>
      <c r="G479" s="33"/>
    </row>
    <row r="480" spans="2:7" s="1" customFormat="1">
      <c r="B480" s="33"/>
      <c r="E480" s="27"/>
      <c r="F480" s="37"/>
      <c r="G480" s="33"/>
    </row>
    <row r="481" spans="2:7" s="1" customFormat="1">
      <c r="B481" s="33"/>
      <c r="E481" s="27"/>
      <c r="F481" s="37"/>
      <c r="G481" s="33"/>
    </row>
    <row r="482" spans="2:7" s="1" customFormat="1">
      <c r="B482" s="33"/>
      <c r="E482" s="27"/>
      <c r="F482" s="37"/>
      <c r="G482" s="33"/>
    </row>
    <row r="483" spans="2:7" s="1" customFormat="1">
      <c r="B483" s="33"/>
      <c r="E483" s="27"/>
      <c r="F483" s="37"/>
      <c r="G483" s="33"/>
    </row>
    <row r="484" spans="2:7" s="1" customFormat="1">
      <c r="B484" s="33"/>
      <c r="E484" s="27"/>
      <c r="F484" s="37"/>
      <c r="G484" s="33"/>
    </row>
    <row r="485" spans="2:7" s="1" customFormat="1">
      <c r="B485" s="33"/>
      <c r="E485" s="27"/>
      <c r="F485" s="37"/>
      <c r="G485" s="33"/>
    </row>
    <row r="486" spans="2:7" s="1" customFormat="1">
      <c r="B486" s="33"/>
      <c r="E486" s="27"/>
      <c r="F486" s="37"/>
      <c r="G486" s="33"/>
    </row>
    <row r="487" spans="2:7" s="1" customFormat="1">
      <c r="B487" s="33"/>
      <c r="E487" s="27"/>
      <c r="F487" s="37"/>
      <c r="G487" s="33"/>
    </row>
    <row r="488" spans="2:7" s="1" customFormat="1">
      <c r="B488" s="33"/>
      <c r="E488" s="27"/>
      <c r="F488" s="37"/>
      <c r="G488" s="33"/>
    </row>
    <row r="489" spans="2:7" s="1" customFormat="1">
      <c r="B489" s="33"/>
      <c r="E489" s="27"/>
      <c r="F489" s="37"/>
      <c r="G489" s="33"/>
    </row>
    <row r="490" spans="2:7" s="1" customFormat="1">
      <c r="B490" s="33"/>
      <c r="E490" s="27"/>
      <c r="F490" s="37"/>
      <c r="G490" s="33"/>
    </row>
    <row r="491" spans="2:7" s="1" customFormat="1">
      <c r="B491" s="33"/>
      <c r="E491" s="27"/>
      <c r="F491" s="37"/>
      <c r="G491" s="33"/>
    </row>
    <row r="492" spans="2:7" s="1" customFormat="1">
      <c r="B492" s="33"/>
      <c r="E492" s="27"/>
      <c r="F492" s="37"/>
      <c r="G492" s="33"/>
    </row>
    <row r="493" spans="2:7" s="1" customFormat="1">
      <c r="B493" s="33"/>
      <c r="E493" s="27"/>
      <c r="F493" s="37"/>
      <c r="G493" s="33"/>
    </row>
    <row r="494" spans="2:7" s="1" customFormat="1">
      <c r="B494" s="33"/>
      <c r="E494" s="27"/>
      <c r="F494" s="37"/>
      <c r="G494" s="33"/>
    </row>
    <row r="495" spans="2:7" s="1" customFormat="1">
      <c r="B495" s="33"/>
      <c r="E495" s="27"/>
      <c r="F495" s="37"/>
      <c r="G495" s="33"/>
    </row>
    <row r="496" spans="2:7" s="1" customFormat="1">
      <c r="B496" s="33"/>
      <c r="E496" s="27"/>
      <c r="F496" s="37"/>
      <c r="G496" s="33"/>
    </row>
    <row r="497" spans="2:7" s="1" customFormat="1">
      <c r="B497" s="33"/>
      <c r="E497" s="27"/>
      <c r="F497" s="37"/>
      <c r="G497" s="33"/>
    </row>
    <row r="498" spans="2:7" s="1" customFormat="1">
      <c r="B498" s="33"/>
      <c r="E498" s="27"/>
      <c r="F498" s="37"/>
      <c r="G498" s="33"/>
    </row>
    <row r="499" spans="2:7" s="1" customFormat="1">
      <c r="B499" s="33"/>
      <c r="E499" s="27"/>
      <c r="F499" s="37"/>
      <c r="G499" s="33"/>
    </row>
    <row r="500" spans="2:7" s="1" customFormat="1">
      <c r="B500" s="33"/>
      <c r="E500" s="27"/>
      <c r="F500" s="37"/>
      <c r="G500" s="33"/>
    </row>
    <row r="501" spans="2:7" s="1" customFormat="1">
      <c r="B501" s="33"/>
      <c r="E501" s="27"/>
      <c r="F501" s="37"/>
      <c r="G501" s="33"/>
    </row>
    <row r="502" spans="2:7" s="1" customFormat="1">
      <c r="B502" s="33"/>
      <c r="E502" s="27"/>
      <c r="F502" s="37"/>
      <c r="G502" s="33"/>
    </row>
    <row r="503" spans="2:7" s="1" customFormat="1">
      <c r="B503" s="33"/>
      <c r="E503" s="27"/>
      <c r="F503" s="37"/>
      <c r="G503" s="33"/>
    </row>
    <row r="504" spans="2:7" s="1" customFormat="1">
      <c r="B504" s="33"/>
      <c r="E504" s="27"/>
      <c r="F504" s="37"/>
      <c r="G504" s="33"/>
    </row>
    <row r="505" spans="2:7" s="1" customFormat="1">
      <c r="B505" s="33"/>
      <c r="E505" s="27"/>
      <c r="F505" s="37"/>
      <c r="G505" s="33"/>
    </row>
    <row r="506" spans="2:7" s="1" customFormat="1">
      <c r="B506" s="33"/>
      <c r="E506" s="27"/>
      <c r="F506" s="37"/>
      <c r="G506" s="33"/>
    </row>
    <row r="507" spans="2:7" s="1" customFormat="1">
      <c r="B507" s="33"/>
      <c r="E507" s="27"/>
      <c r="F507" s="37"/>
      <c r="G507" s="33"/>
    </row>
    <row r="508" spans="2:7" s="1" customFormat="1">
      <c r="B508" s="33"/>
      <c r="E508" s="27"/>
      <c r="F508" s="37"/>
      <c r="G508" s="33"/>
    </row>
    <row r="509" spans="2:7" s="1" customFormat="1">
      <c r="B509" s="33"/>
      <c r="E509" s="27"/>
      <c r="F509" s="37"/>
      <c r="G509" s="33"/>
    </row>
    <row r="510" spans="2:7" s="1" customFormat="1">
      <c r="B510" s="33"/>
      <c r="E510" s="27"/>
      <c r="F510" s="37"/>
      <c r="G510" s="33"/>
    </row>
    <row r="511" spans="2:7" s="1" customFormat="1">
      <c r="B511" s="33"/>
      <c r="E511" s="27"/>
      <c r="F511" s="37"/>
      <c r="G511" s="33"/>
    </row>
    <row r="512" spans="2:7" s="1" customFormat="1">
      <c r="B512" s="33"/>
      <c r="E512" s="27"/>
      <c r="F512" s="37"/>
      <c r="G512" s="33"/>
    </row>
    <row r="513" spans="2:7" s="1" customFormat="1">
      <c r="B513" s="33"/>
      <c r="E513" s="27"/>
      <c r="F513" s="37"/>
      <c r="G513" s="33"/>
    </row>
    <row r="514" spans="2:7" s="1" customFormat="1">
      <c r="B514" s="33"/>
      <c r="E514" s="27"/>
      <c r="F514" s="37"/>
      <c r="G514" s="33"/>
    </row>
    <row r="515" spans="2:7" s="1" customFormat="1">
      <c r="B515" s="33"/>
      <c r="E515" s="27"/>
      <c r="F515" s="37"/>
      <c r="G515" s="33"/>
    </row>
    <row r="516" spans="2:7" s="1" customFormat="1">
      <c r="B516" s="33"/>
      <c r="E516" s="27"/>
      <c r="F516" s="37"/>
      <c r="G516" s="33"/>
    </row>
    <row r="517" spans="2:7" s="1" customFormat="1">
      <c r="B517" s="33"/>
      <c r="E517" s="27"/>
      <c r="F517" s="37"/>
      <c r="G517" s="33"/>
    </row>
    <row r="518" spans="2:7" s="1" customFormat="1">
      <c r="B518" s="33"/>
      <c r="E518" s="27"/>
      <c r="F518" s="37"/>
      <c r="G518" s="33"/>
    </row>
    <row r="519" spans="2:7" s="1" customFormat="1">
      <c r="B519" s="33"/>
      <c r="E519" s="27"/>
      <c r="F519" s="37"/>
      <c r="G519" s="33"/>
    </row>
    <row r="520" spans="2:7" s="1" customFormat="1">
      <c r="B520" s="33"/>
      <c r="E520" s="27"/>
      <c r="F520" s="37"/>
      <c r="G520" s="33"/>
    </row>
    <row r="521" spans="2:7" s="1" customFormat="1">
      <c r="B521" s="33"/>
      <c r="E521" s="27"/>
      <c r="F521" s="37"/>
      <c r="G521" s="33"/>
    </row>
    <row r="522" spans="2:7" s="1" customFormat="1">
      <c r="B522" s="33"/>
      <c r="E522" s="27"/>
      <c r="F522" s="37"/>
      <c r="G522" s="33"/>
    </row>
    <row r="523" spans="2:7" s="1" customFormat="1">
      <c r="B523" s="33"/>
      <c r="E523" s="27"/>
      <c r="F523" s="37"/>
      <c r="G523" s="33"/>
    </row>
    <row r="524" spans="2:7" s="1" customFormat="1">
      <c r="B524" s="33"/>
      <c r="E524" s="27"/>
      <c r="F524" s="37"/>
      <c r="G524" s="33"/>
    </row>
    <row r="525" spans="2:7" s="1" customFormat="1">
      <c r="B525" s="33"/>
      <c r="E525" s="27"/>
      <c r="F525" s="37"/>
      <c r="G525" s="33"/>
    </row>
    <row r="526" spans="2:7" s="1" customFormat="1">
      <c r="B526" s="33"/>
      <c r="E526" s="27"/>
      <c r="F526" s="37"/>
      <c r="G526" s="33"/>
    </row>
    <row r="527" spans="2:7" s="1" customFormat="1">
      <c r="B527" s="33"/>
      <c r="E527" s="27"/>
      <c r="F527" s="37"/>
      <c r="G527" s="33"/>
    </row>
    <row r="528" spans="2:7" s="1" customFormat="1">
      <c r="B528" s="33"/>
      <c r="E528" s="27"/>
      <c r="F528" s="37"/>
      <c r="G528" s="33"/>
    </row>
    <row r="529" spans="2:7" s="1" customFormat="1">
      <c r="B529" s="33"/>
      <c r="E529" s="27"/>
      <c r="F529" s="37"/>
      <c r="G529" s="33"/>
    </row>
    <row r="530" spans="2:7" s="1" customFormat="1">
      <c r="B530" s="33"/>
      <c r="E530" s="27"/>
      <c r="F530" s="37"/>
      <c r="G530" s="33"/>
    </row>
    <row r="531" spans="2:7" s="1" customFormat="1">
      <c r="B531" s="33"/>
      <c r="E531" s="27"/>
      <c r="F531" s="37"/>
      <c r="G531" s="33"/>
    </row>
    <row r="532" spans="2:7" s="1" customFormat="1">
      <c r="B532" s="33"/>
      <c r="E532" s="27"/>
      <c r="F532" s="37"/>
      <c r="G532" s="33"/>
    </row>
    <row r="533" spans="2:7" s="1" customFormat="1">
      <c r="B533" s="33"/>
      <c r="E533" s="27"/>
      <c r="F533" s="37"/>
      <c r="G533" s="33"/>
    </row>
    <row r="534" spans="2:7" s="1" customFormat="1">
      <c r="B534" s="33"/>
      <c r="E534" s="27"/>
      <c r="F534" s="37"/>
      <c r="G534" s="33"/>
    </row>
    <row r="535" spans="2:7" s="1" customFormat="1">
      <c r="B535" s="33"/>
      <c r="E535" s="27"/>
      <c r="F535" s="37"/>
      <c r="G535" s="33"/>
    </row>
    <row r="536" spans="2:7" s="1" customFormat="1">
      <c r="B536" s="33"/>
      <c r="E536" s="27"/>
      <c r="F536" s="37"/>
      <c r="G536" s="33"/>
    </row>
    <row r="537" spans="2:7" s="1" customFormat="1">
      <c r="B537" s="33"/>
      <c r="E537" s="27"/>
      <c r="F537" s="37"/>
      <c r="G537" s="33"/>
    </row>
    <row r="538" spans="2:7" s="1" customFormat="1">
      <c r="B538" s="33"/>
      <c r="E538" s="27"/>
      <c r="F538" s="37"/>
      <c r="G538" s="33"/>
    </row>
    <row r="539" spans="2:7" s="1" customFormat="1">
      <c r="B539" s="33"/>
      <c r="E539" s="27"/>
      <c r="F539" s="37"/>
      <c r="G539" s="33"/>
    </row>
    <row r="540" spans="2:7" s="1" customFormat="1">
      <c r="B540" s="33"/>
      <c r="E540" s="27"/>
      <c r="F540" s="37"/>
      <c r="G540" s="33"/>
    </row>
    <row r="541" spans="2:7" s="1" customFormat="1">
      <c r="B541" s="33"/>
      <c r="E541" s="27"/>
      <c r="F541" s="37"/>
      <c r="G541" s="33"/>
    </row>
    <row r="542" spans="2:7" s="1" customFormat="1">
      <c r="B542" s="33"/>
      <c r="E542" s="27"/>
      <c r="F542" s="37"/>
      <c r="G542" s="33"/>
    </row>
    <row r="543" spans="2:7" s="1" customFormat="1">
      <c r="B543" s="33"/>
      <c r="E543" s="27"/>
      <c r="F543" s="37"/>
      <c r="G543" s="33"/>
    </row>
    <row r="544" spans="2:7" s="1" customFormat="1">
      <c r="B544" s="33"/>
      <c r="E544" s="27"/>
      <c r="F544" s="37"/>
      <c r="G544" s="33"/>
    </row>
    <row r="545" spans="2:7" s="1" customFormat="1">
      <c r="B545" s="33"/>
      <c r="E545" s="27"/>
      <c r="F545" s="37"/>
      <c r="G545" s="33"/>
    </row>
    <row r="546" spans="2:7" s="1" customFormat="1">
      <c r="B546" s="33"/>
      <c r="E546" s="27"/>
      <c r="F546" s="37"/>
      <c r="G546" s="33"/>
    </row>
    <row r="547" spans="2:7" s="1" customFormat="1">
      <c r="B547" s="33"/>
      <c r="E547" s="27"/>
      <c r="F547" s="37"/>
      <c r="G547" s="33"/>
    </row>
    <row r="548" spans="2:7" s="1" customFormat="1">
      <c r="B548" s="33"/>
      <c r="E548" s="27"/>
      <c r="F548" s="37"/>
      <c r="G548" s="33"/>
    </row>
    <row r="549" spans="2:7" s="1" customFormat="1">
      <c r="B549" s="33"/>
      <c r="E549" s="27"/>
      <c r="F549" s="37"/>
      <c r="G549" s="33"/>
    </row>
    <row r="550" spans="2:7" s="1" customFormat="1">
      <c r="B550" s="33"/>
      <c r="E550" s="27"/>
      <c r="F550" s="37"/>
      <c r="G550" s="33"/>
    </row>
    <row r="551" spans="2:7" s="1" customFormat="1">
      <c r="B551" s="33"/>
      <c r="E551" s="27"/>
      <c r="F551" s="37"/>
      <c r="G551" s="33"/>
    </row>
    <row r="552" spans="2:7" s="1" customFormat="1">
      <c r="B552" s="33"/>
      <c r="E552" s="27"/>
      <c r="F552" s="37"/>
      <c r="G552" s="33"/>
    </row>
    <row r="553" spans="2:7" s="1" customFormat="1">
      <c r="B553" s="33"/>
      <c r="E553" s="27"/>
      <c r="F553" s="37"/>
      <c r="G553" s="33"/>
    </row>
    <row r="554" spans="2:7" s="1" customFormat="1">
      <c r="B554" s="33"/>
      <c r="E554" s="27"/>
      <c r="F554" s="37"/>
      <c r="G554" s="33"/>
    </row>
    <row r="555" spans="2:7" s="1" customFormat="1">
      <c r="B555" s="33"/>
      <c r="E555" s="27"/>
      <c r="F555" s="37"/>
      <c r="G555" s="33"/>
    </row>
    <row r="556" spans="2:7" s="1" customFormat="1">
      <c r="B556" s="33"/>
      <c r="E556" s="27"/>
      <c r="F556" s="37"/>
      <c r="G556" s="33"/>
    </row>
    <row r="557" spans="2:7" s="1" customFormat="1">
      <c r="B557" s="33"/>
      <c r="E557" s="27"/>
      <c r="F557" s="37"/>
      <c r="G557" s="33"/>
    </row>
    <row r="558" spans="2:7" s="1" customFormat="1">
      <c r="B558" s="33"/>
      <c r="E558" s="27"/>
      <c r="F558" s="37"/>
      <c r="G558" s="33"/>
    </row>
    <row r="559" spans="2:7" s="1" customFormat="1">
      <c r="B559" s="33"/>
      <c r="E559" s="27"/>
      <c r="F559" s="37"/>
      <c r="G559" s="33"/>
    </row>
    <row r="560" spans="2:7" s="1" customFormat="1">
      <c r="B560" s="33"/>
      <c r="E560" s="27"/>
      <c r="F560" s="37"/>
      <c r="G560" s="33"/>
    </row>
    <row r="561" spans="2:7" s="1" customFormat="1">
      <c r="B561" s="33"/>
      <c r="E561" s="27"/>
      <c r="F561" s="37"/>
      <c r="G561" s="33"/>
    </row>
    <row r="562" spans="2:7" s="1" customFormat="1">
      <c r="B562" s="33"/>
      <c r="E562" s="27"/>
      <c r="F562" s="37"/>
      <c r="G562" s="33"/>
    </row>
    <row r="563" spans="2:7" s="1" customFormat="1">
      <c r="B563" s="33"/>
      <c r="E563" s="27"/>
      <c r="F563" s="37"/>
      <c r="G563" s="33"/>
    </row>
    <row r="564" spans="2:7" s="1" customFormat="1">
      <c r="B564" s="33"/>
      <c r="E564" s="27"/>
      <c r="F564" s="37"/>
      <c r="G564" s="33"/>
    </row>
    <row r="565" spans="2:7" s="1" customFormat="1">
      <c r="B565" s="33"/>
      <c r="E565" s="27"/>
      <c r="F565" s="37"/>
      <c r="G565" s="33"/>
    </row>
    <row r="566" spans="2:7" s="1" customFormat="1">
      <c r="B566" s="33"/>
      <c r="E566" s="27"/>
      <c r="F566" s="37"/>
      <c r="G566" s="33"/>
    </row>
    <row r="567" spans="2:7" s="1" customFormat="1">
      <c r="B567" s="33"/>
      <c r="E567" s="27"/>
      <c r="F567" s="37"/>
      <c r="G567" s="33"/>
    </row>
    <row r="568" spans="2:7" s="1" customFormat="1">
      <c r="B568" s="33"/>
      <c r="E568" s="27"/>
      <c r="F568" s="37"/>
      <c r="G568" s="33"/>
    </row>
    <row r="569" spans="2:7" s="1" customFormat="1">
      <c r="B569" s="33"/>
      <c r="E569" s="27"/>
      <c r="F569" s="37"/>
      <c r="G569" s="33"/>
    </row>
    <row r="570" spans="2:7" s="1" customFormat="1">
      <c r="B570" s="33"/>
      <c r="E570" s="27"/>
      <c r="F570" s="37"/>
      <c r="G570" s="33"/>
    </row>
    <row r="571" spans="2:7" s="1" customFormat="1">
      <c r="B571" s="33"/>
      <c r="E571" s="27"/>
      <c r="F571" s="37"/>
      <c r="G571" s="33"/>
    </row>
    <row r="572" spans="2:7" s="1" customFormat="1">
      <c r="B572" s="33"/>
      <c r="E572" s="27"/>
      <c r="F572" s="37"/>
      <c r="G572" s="33"/>
    </row>
    <row r="573" spans="2:7" s="1" customFormat="1">
      <c r="B573" s="33"/>
      <c r="E573" s="27"/>
      <c r="F573" s="37"/>
      <c r="G573" s="33"/>
    </row>
    <row r="574" spans="2:7" s="1" customFormat="1">
      <c r="B574" s="33"/>
      <c r="E574" s="27"/>
      <c r="F574" s="37"/>
      <c r="G574" s="33"/>
    </row>
    <row r="575" spans="2:7" s="1" customFormat="1">
      <c r="B575" s="33"/>
      <c r="E575" s="27"/>
      <c r="F575" s="37"/>
      <c r="G575" s="33"/>
    </row>
    <row r="576" spans="2:7" s="1" customFormat="1">
      <c r="B576" s="33"/>
      <c r="E576" s="27"/>
      <c r="F576" s="37"/>
      <c r="G576" s="33"/>
    </row>
    <row r="577" spans="2:7" s="1" customFormat="1">
      <c r="B577" s="33"/>
      <c r="E577" s="27"/>
      <c r="F577" s="37"/>
      <c r="G577" s="33"/>
    </row>
    <row r="578" spans="2:7" s="1" customFormat="1">
      <c r="B578" s="33"/>
      <c r="E578" s="27"/>
      <c r="F578" s="37"/>
      <c r="G578" s="33"/>
    </row>
    <row r="579" spans="2:7" s="1" customFormat="1">
      <c r="B579" s="33"/>
      <c r="E579" s="27"/>
      <c r="F579" s="37"/>
      <c r="G579" s="33"/>
    </row>
    <row r="580" spans="2:7" s="1" customFormat="1">
      <c r="B580" s="33"/>
      <c r="E580" s="27"/>
      <c r="F580" s="37"/>
      <c r="G580" s="33"/>
    </row>
    <row r="581" spans="2:7" s="1" customFormat="1">
      <c r="B581" s="33"/>
      <c r="E581" s="27"/>
      <c r="F581" s="37"/>
      <c r="G581" s="33"/>
    </row>
    <row r="582" spans="2:7" s="1" customFormat="1">
      <c r="B582" s="33"/>
      <c r="E582" s="27"/>
      <c r="F582" s="37"/>
      <c r="G582" s="33"/>
    </row>
    <row r="583" spans="2:7" s="1" customFormat="1">
      <c r="B583" s="33"/>
      <c r="E583" s="27"/>
      <c r="F583" s="37"/>
      <c r="G583" s="33"/>
    </row>
    <row r="584" spans="2:7" s="1" customFormat="1">
      <c r="B584" s="33"/>
      <c r="E584" s="27"/>
      <c r="F584" s="37"/>
      <c r="G584" s="33"/>
    </row>
    <row r="585" spans="2:7" s="1" customFormat="1">
      <c r="B585" s="33"/>
      <c r="E585" s="27"/>
      <c r="F585" s="37"/>
      <c r="G585" s="33"/>
    </row>
    <row r="586" spans="2:7" s="1" customFormat="1">
      <c r="B586" s="33"/>
      <c r="E586" s="27"/>
      <c r="F586" s="37"/>
      <c r="G586" s="33"/>
    </row>
    <row r="587" spans="2:7" s="1" customFormat="1">
      <c r="B587" s="33"/>
      <c r="E587" s="27"/>
      <c r="F587" s="37"/>
      <c r="G587" s="33"/>
    </row>
    <row r="588" spans="2:7" s="1" customFormat="1">
      <c r="B588" s="33"/>
      <c r="E588" s="27"/>
      <c r="F588" s="37"/>
      <c r="G588" s="33"/>
    </row>
    <row r="589" spans="2:7" s="1" customFormat="1">
      <c r="B589" s="33"/>
      <c r="E589" s="27"/>
      <c r="F589" s="37"/>
      <c r="G589" s="33"/>
    </row>
    <row r="590" spans="2:7" s="1" customFormat="1">
      <c r="B590" s="33"/>
      <c r="E590" s="27"/>
      <c r="F590" s="37"/>
      <c r="G590" s="33"/>
    </row>
    <row r="591" spans="2:7" s="1" customFormat="1">
      <c r="B591" s="33"/>
      <c r="E591" s="27"/>
      <c r="F591" s="37"/>
      <c r="G591" s="33"/>
    </row>
    <row r="592" spans="2:7" s="1" customFormat="1">
      <c r="B592" s="33"/>
      <c r="E592" s="27"/>
      <c r="F592" s="37"/>
      <c r="G592" s="33"/>
    </row>
    <row r="593" spans="2:7" s="1" customFormat="1">
      <c r="B593" s="33"/>
      <c r="E593" s="27"/>
      <c r="F593" s="37"/>
      <c r="G593" s="33"/>
    </row>
    <row r="594" spans="2:7" s="1" customFormat="1">
      <c r="B594" s="33"/>
      <c r="E594" s="27"/>
      <c r="F594" s="37"/>
      <c r="G594" s="33"/>
    </row>
    <row r="595" spans="2:7" s="1" customFormat="1">
      <c r="B595" s="33"/>
      <c r="E595" s="27"/>
      <c r="F595" s="37"/>
      <c r="G595" s="33"/>
    </row>
    <row r="596" spans="2:7" s="1" customFormat="1">
      <c r="B596" s="33"/>
      <c r="E596" s="27"/>
      <c r="F596" s="37"/>
      <c r="G596" s="33"/>
    </row>
    <row r="597" spans="2:7" s="1" customFormat="1">
      <c r="B597" s="33"/>
      <c r="E597" s="27"/>
      <c r="F597" s="37"/>
      <c r="G597" s="33"/>
    </row>
    <row r="598" spans="2:7" s="1" customFormat="1">
      <c r="B598" s="33"/>
      <c r="E598" s="27"/>
      <c r="F598" s="37"/>
      <c r="G598" s="33"/>
    </row>
    <row r="599" spans="2:7" s="1" customFormat="1">
      <c r="B599" s="33"/>
      <c r="E599" s="27"/>
      <c r="F599" s="37"/>
      <c r="G599" s="33"/>
    </row>
    <row r="600" spans="2:7" s="1" customFormat="1">
      <c r="B600" s="33"/>
      <c r="E600" s="27"/>
      <c r="F600" s="37"/>
      <c r="G600" s="33"/>
    </row>
    <row r="601" spans="2:7" s="1" customFormat="1">
      <c r="B601" s="33"/>
      <c r="E601" s="27"/>
      <c r="F601" s="37"/>
      <c r="G601" s="33"/>
    </row>
    <row r="602" spans="2:7" s="1" customFormat="1">
      <c r="B602" s="33"/>
      <c r="E602" s="27"/>
      <c r="F602" s="37"/>
      <c r="G602" s="33"/>
    </row>
    <row r="603" spans="2:7" s="1" customFormat="1">
      <c r="B603" s="33"/>
      <c r="E603" s="27"/>
      <c r="F603" s="37"/>
      <c r="G603" s="33"/>
    </row>
    <row r="604" spans="2:7" s="1" customFormat="1">
      <c r="B604" s="33"/>
      <c r="E604" s="27"/>
      <c r="F604" s="37"/>
      <c r="G604" s="33"/>
    </row>
    <row r="605" spans="2:7" s="1" customFormat="1">
      <c r="B605" s="33"/>
      <c r="E605" s="27"/>
      <c r="F605" s="37"/>
      <c r="G605" s="33"/>
    </row>
    <row r="606" spans="2:7" s="1" customFormat="1">
      <c r="B606" s="33"/>
      <c r="E606" s="27"/>
      <c r="F606" s="37"/>
      <c r="G606" s="33"/>
    </row>
    <row r="607" spans="2:7" s="1" customFormat="1">
      <c r="B607" s="33"/>
      <c r="E607" s="27"/>
      <c r="F607" s="37"/>
      <c r="G607" s="33"/>
    </row>
    <row r="608" spans="2:7" s="1" customFormat="1">
      <c r="B608" s="33"/>
      <c r="E608" s="27"/>
      <c r="F608" s="37"/>
      <c r="G608" s="33"/>
    </row>
    <row r="609" spans="2:7" s="1" customFormat="1">
      <c r="B609" s="33"/>
      <c r="E609" s="27"/>
      <c r="F609" s="37"/>
      <c r="G609" s="33"/>
    </row>
    <row r="610" spans="2:7" s="1" customFormat="1">
      <c r="B610" s="33"/>
      <c r="E610" s="27"/>
      <c r="F610" s="37"/>
      <c r="G610" s="33"/>
    </row>
    <row r="611" spans="2:7" s="1" customFormat="1">
      <c r="B611" s="33"/>
      <c r="E611" s="27"/>
      <c r="F611" s="37"/>
      <c r="G611" s="33"/>
    </row>
    <row r="612" spans="2:7" s="1" customFormat="1">
      <c r="B612" s="33"/>
      <c r="E612" s="27"/>
      <c r="F612" s="37"/>
      <c r="G612" s="33"/>
    </row>
    <row r="613" spans="2:7" s="1" customFormat="1">
      <c r="B613" s="33"/>
      <c r="E613" s="27"/>
      <c r="F613" s="37"/>
      <c r="G613" s="33"/>
    </row>
    <row r="614" spans="2:7" s="1" customFormat="1">
      <c r="B614" s="33"/>
      <c r="E614" s="27"/>
      <c r="F614" s="37"/>
      <c r="G614" s="33"/>
    </row>
    <row r="615" spans="2:7" s="1" customFormat="1">
      <c r="B615" s="33"/>
      <c r="E615" s="27"/>
      <c r="F615" s="37"/>
      <c r="G615" s="33"/>
    </row>
    <row r="616" spans="2:7" s="1" customFormat="1">
      <c r="B616" s="33"/>
      <c r="E616" s="27"/>
      <c r="F616" s="37"/>
      <c r="G616" s="33"/>
    </row>
    <row r="617" spans="2:7" s="1" customFormat="1">
      <c r="B617" s="33"/>
      <c r="E617" s="27"/>
      <c r="F617" s="37"/>
      <c r="G617" s="33"/>
    </row>
    <row r="618" spans="2:7" s="1" customFormat="1">
      <c r="B618" s="33"/>
      <c r="E618" s="27"/>
      <c r="F618" s="37"/>
      <c r="G618" s="33"/>
    </row>
    <row r="619" spans="2:7" s="1" customFormat="1">
      <c r="B619" s="33"/>
      <c r="E619" s="27"/>
      <c r="F619" s="37"/>
      <c r="G619" s="33"/>
    </row>
    <row r="620" spans="2:7" s="1" customFormat="1">
      <c r="B620" s="33"/>
      <c r="E620" s="27"/>
      <c r="F620" s="37"/>
      <c r="G620" s="33"/>
    </row>
    <row r="621" spans="2:7" s="1" customFormat="1">
      <c r="B621" s="33"/>
      <c r="E621" s="27"/>
      <c r="F621" s="37"/>
      <c r="G621" s="33"/>
    </row>
    <row r="622" spans="2:7" s="1" customFormat="1">
      <c r="B622" s="33"/>
      <c r="E622" s="27"/>
      <c r="F622" s="37"/>
      <c r="G622" s="33"/>
    </row>
    <row r="623" spans="2:7" s="1" customFormat="1">
      <c r="B623" s="33"/>
      <c r="E623" s="27"/>
      <c r="F623" s="37"/>
      <c r="G623" s="33"/>
    </row>
    <row r="624" spans="2:7" s="1" customFormat="1">
      <c r="B624" s="33"/>
      <c r="E624" s="27"/>
      <c r="F624" s="37"/>
      <c r="G624" s="33"/>
    </row>
    <row r="625" spans="2:7" s="1" customFormat="1">
      <c r="B625" s="33"/>
      <c r="E625" s="27"/>
      <c r="F625" s="37"/>
      <c r="G625" s="33"/>
    </row>
    <row r="626" spans="2:7" s="1" customFormat="1">
      <c r="B626" s="33"/>
      <c r="E626" s="27"/>
      <c r="F626" s="37"/>
      <c r="G626" s="33"/>
    </row>
    <row r="627" spans="2:7" s="1" customFormat="1">
      <c r="B627" s="33"/>
      <c r="E627" s="27"/>
      <c r="F627" s="37"/>
      <c r="G627" s="33"/>
    </row>
    <row r="628" spans="2:7" s="1" customFormat="1">
      <c r="B628" s="33"/>
      <c r="E628" s="27"/>
      <c r="F628" s="37"/>
      <c r="G628" s="33"/>
    </row>
    <row r="629" spans="2:7" s="1" customFormat="1">
      <c r="B629" s="33"/>
      <c r="E629" s="27"/>
      <c r="F629" s="37"/>
      <c r="G629" s="33"/>
    </row>
    <row r="630" spans="2:7" s="1" customFormat="1">
      <c r="B630" s="33"/>
      <c r="E630" s="27"/>
      <c r="F630" s="37"/>
      <c r="G630" s="33"/>
    </row>
    <row r="631" spans="2:7" s="1" customFormat="1">
      <c r="B631" s="33"/>
      <c r="E631" s="27"/>
      <c r="F631" s="37"/>
      <c r="G631" s="33"/>
    </row>
    <row r="632" spans="2:7" s="1" customFormat="1">
      <c r="B632" s="33"/>
      <c r="E632" s="27"/>
      <c r="F632" s="37"/>
      <c r="G632" s="33"/>
    </row>
    <row r="633" spans="2:7" s="1" customFormat="1">
      <c r="B633" s="33"/>
      <c r="E633" s="27"/>
      <c r="F633" s="37"/>
      <c r="G633" s="33"/>
    </row>
    <row r="634" spans="2:7" s="1" customFormat="1">
      <c r="B634" s="33"/>
      <c r="E634" s="27"/>
      <c r="F634" s="37"/>
      <c r="G634" s="33"/>
    </row>
    <row r="635" spans="2:7" s="1" customFormat="1">
      <c r="B635" s="33"/>
      <c r="E635" s="27"/>
      <c r="F635" s="37"/>
      <c r="G635" s="33"/>
    </row>
    <row r="636" spans="2:7" s="1" customFormat="1">
      <c r="B636" s="33"/>
      <c r="E636" s="27"/>
      <c r="F636" s="37"/>
      <c r="G636" s="33"/>
    </row>
    <row r="637" spans="2:7" s="1" customFormat="1">
      <c r="B637" s="33"/>
      <c r="E637" s="27"/>
      <c r="F637" s="37"/>
      <c r="G637" s="33"/>
    </row>
    <row r="638" spans="2:7" s="1" customFormat="1">
      <c r="B638" s="33"/>
      <c r="E638" s="27"/>
      <c r="F638" s="37"/>
      <c r="G638" s="33"/>
    </row>
    <row r="639" spans="2:7" s="1" customFormat="1">
      <c r="B639" s="33"/>
      <c r="E639" s="27"/>
      <c r="F639" s="37"/>
      <c r="G639" s="33"/>
    </row>
    <row r="640" spans="2:7" s="1" customFormat="1">
      <c r="B640" s="33"/>
      <c r="E640" s="27"/>
      <c r="F640" s="37"/>
      <c r="G640" s="33"/>
    </row>
    <row r="641" spans="2:7" s="1" customFormat="1">
      <c r="B641" s="33"/>
      <c r="E641" s="27"/>
      <c r="F641" s="37"/>
      <c r="G641" s="33"/>
    </row>
    <row r="642" spans="2:7" s="1" customFormat="1">
      <c r="B642" s="33"/>
      <c r="E642" s="27"/>
      <c r="F642" s="37"/>
      <c r="G642" s="33"/>
    </row>
    <row r="643" spans="2:7" s="1" customFormat="1">
      <c r="B643" s="33"/>
      <c r="E643" s="27"/>
      <c r="F643" s="37"/>
      <c r="G643" s="33"/>
    </row>
    <row r="644" spans="2:7" s="1" customFormat="1">
      <c r="B644" s="33"/>
      <c r="E644" s="27"/>
      <c r="F644" s="37"/>
      <c r="G644" s="33"/>
    </row>
    <row r="645" spans="2:7" s="1" customFormat="1">
      <c r="B645" s="33"/>
      <c r="E645" s="27"/>
      <c r="F645" s="37"/>
      <c r="G645" s="33"/>
    </row>
    <row r="646" spans="2:7" s="1" customFormat="1">
      <c r="B646" s="33"/>
      <c r="E646" s="27"/>
      <c r="F646" s="37"/>
      <c r="G646" s="33"/>
    </row>
    <row r="647" spans="2:7" s="1" customFormat="1">
      <c r="B647" s="33"/>
      <c r="E647" s="27"/>
      <c r="F647" s="37"/>
      <c r="G647" s="33"/>
    </row>
    <row r="648" spans="2:7" s="1" customFormat="1">
      <c r="B648" s="33"/>
      <c r="E648" s="27"/>
      <c r="F648" s="37"/>
      <c r="G648" s="33"/>
    </row>
    <row r="649" spans="2:7" s="1" customFormat="1">
      <c r="B649" s="33"/>
      <c r="E649" s="27"/>
      <c r="F649" s="37"/>
      <c r="G649" s="33"/>
    </row>
    <row r="650" spans="2:7" s="1" customFormat="1">
      <c r="B650" s="33"/>
      <c r="E650" s="27"/>
      <c r="F650" s="37"/>
      <c r="G650" s="33"/>
    </row>
    <row r="651" spans="2:7" s="1" customFormat="1">
      <c r="B651" s="33"/>
      <c r="E651" s="27"/>
      <c r="F651" s="37"/>
      <c r="G651" s="33"/>
    </row>
    <row r="652" spans="2:7" s="1" customFormat="1">
      <c r="B652" s="33"/>
      <c r="E652" s="27"/>
      <c r="F652" s="37"/>
      <c r="G652" s="33"/>
    </row>
    <row r="653" spans="2:7" s="1" customFormat="1">
      <c r="B653" s="33"/>
      <c r="E653" s="27"/>
      <c r="F653" s="37"/>
      <c r="G653" s="33"/>
    </row>
    <row r="654" spans="2:7" s="1" customFormat="1">
      <c r="B654" s="33"/>
      <c r="E654" s="27"/>
      <c r="F654" s="37"/>
      <c r="G654" s="33"/>
    </row>
    <row r="655" spans="2:7" s="1" customFormat="1">
      <c r="B655" s="33"/>
      <c r="E655" s="27"/>
      <c r="F655" s="37"/>
      <c r="G655" s="33"/>
    </row>
    <row r="656" spans="2:7" s="1" customFormat="1">
      <c r="B656" s="33"/>
      <c r="E656" s="27"/>
      <c r="F656" s="37"/>
      <c r="G656" s="33"/>
    </row>
    <row r="657" spans="2:7" s="1" customFormat="1">
      <c r="B657" s="33"/>
      <c r="E657" s="27"/>
      <c r="F657" s="37"/>
      <c r="G657" s="33"/>
    </row>
    <row r="658" spans="2:7" s="1" customFormat="1">
      <c r="B658" s="33"/>
      <c r="E658" s="27"/>
      <c r="F658" s="37"/>
      <c r="G658" s="33"/>
    </row>
    <row r="659" spans="2:7" s="1" customFormat="1">
      <c r="B659" s="33"/>
      <c r="E659" s="27"/>
      <c r="F659" s="37"/>
      <c r="G659" s="33"/>
    </row>
    <row r="660" spans="2:7" s="1" customFormat="1">
      <c r="B660" s="33"/>
      <c r="E660" s="27"/>
      <c r="F660" s="37"/>
      <c r="G660" s="33"/>
    </row>
    <row r="661" spans="2:7" s="1" customFormat="1">
      <c r="B661" s="33"/>
      <c r="E661" s="27"/>
      <c r="F661" s="37"/>
      <c r="G661" s="33"/>
    </row>
    <row r="662" spans="2:7" s="1" customFormat="1">
      <c r="B662" s="33"/>
      <c r="E662" s="27"/>
      <c r="F662" s="37"/>
      <c r="G662" s="33"/>
    </row>
    <row r="663" spans="2:7" s="1" customFormat="1">
      <c r="B663" s="33"/>
      <c r="E663" s="27"/>
      <c r="F663" s="37"/>
      <c r="G663" s="33"/>
    </row>
    <row r="664" spans="2:7" s="1" customFormat="1">
      <c r="B664" s="33"/>
      <c r="E664" s="27"/>
      <c r="F664" s="37"/>
      <c r="G664" s="33"/>
    </row>
    <row r="665" spans="2:7" s="1" customFormat="1">
      <c r="B665" s="33"/>
      <c r="E665" s="27"/>
      <c r="F665" s="37"/>
      <c r="G665" s="33"/>
    </row>
    <row r="666" spans="2:7" s="1" customFormat="1">
      <c r="B666" s="33"/>
      <c r="E666" s="27"/>
      <c r="F666" s="37"/>
      <c r="G666" s="33"/>
    </row>
    <row r="667" spans="2:7" s="1" customFormat="1">
      <c r="B667" s="33"/>
      <c r="E667" s="27"/>
      <c r="F667" s="37"/>
      <c r="G667" s="33"/>
    </row>
    <row r="668" spans="2:7" s="1" customFormat="1">
      <c r="B668" s="33"/>
      <c r="E668" s="27"/>
      <c r="F668" s="37"/>
      <c r="G668" s="33"/>
    </row>
    <row r="669" spans="2:7" s="1" customFormat="1">
      <c r="B669" s="33"/>
      <c r="E669" s="27"/>
      <c r="F669" s="37"/>
      <c r="G669" s="33"/>
    </row>
    <row r="670" spans="2:7" s="1" customFormat="1">
      <c r="B670" s="33"/>
      <c r="E670" s="27"/>
      <c r="F670" s="37"/>
      <c r="G670" s="33"/>
    </row>
    <row r="671" spans="2:7" s="1" customFormat="1">
      <c r="B671" s="33"/>
      <c r="E671" s="27"/>
      <c r="F671" s="37"/>
      <c r="G671" s="33"/>
    </row>
    <row r="672" spans="2:7" s="1" customFormat="1">
      <c r="B672" s="33"/>
      <c r="E672" s="27"/>
      <c r="F672" s="37"/>
      <c r="G672" s="33"/>
    </row>
    <row r="673" spans="2:7" s="1" customFormat="1">
      <c r="B673" s="33"/>
      <c r="E673" s="27"/>
      <c r="F673" s="37"/>
      <c r="G673" s="33"/>
    </row>
    <row r="674" spans="2:7" s="1" customFormat="1">
      <c r="B674" s="33"/>
      <c r="E674" s="27"/>
      <c r="F674" s="37"/>
      <c r="G674" s="33"/>
    </row>
    <row r="675" spans="2:7" s="1" customFormat="1">
      <c r="B675" s="33"/>
      <c r="E675" s="27"/>
      <c r="F675" s="37"/>
      <c r="G675" s="33"/>
    </row>
    <row r="676" spans="2:7" s="1" customFormat="1">
      <c r="B676" s="33"/>
      <c r="E676" s="27"/>
      <c r="F676" s="37"/>
      <c r="G676" s="33"/>
    </row>
    <row r="677" spans="2:7" s="1" customFormat="1">
      <c r="B677" s="33"/>
      <c r="E677" s="27"/>
      <c r="F677" s="37"/>
      <c r="G677" s="33"/>
    </row>
    <row r="678" spans="2:7" s="1" customFormat="1">
      <c r="B678" s="33"/>
      <c r="E678" s="27"/>
      <c r="F678" s="37"/>
      <c r="G678" s="33"/>
    </row>
    <row r="679" spans="2:7" s="1" customFormat="1">
      <c r="B679" s="33"/>
      <c r="E679" s="27"/>
      <c r="F679" s="37"/>
      <c r="G679" s="33"/>
    </row>
    <row r="680" spans="2:7" s="1" customFormat="1">
      <c r="B680" s="33"/>
      <c r="E680" s="27"/>
      <c r="F680" s="37"/>
      <c r="G680" s="33"/>
    </row>
    <row r="681" spans="2:7" s="1" customFormat="1">
      <c r="B681" s="33"/>
      <c r="E681" s="27"/>
      <c r="F681" s="37"/>
      <c r="G681" s="33"/>
    </row>
    <row r="682" spans="2:7" s="1" customFormat="1">
      <c r="B682" s="33"/>
      <c r="E682" s="27"/>
      <c r="F682" s="37"/>
      <c r="G682" s="33"/>
    </row>
    <row r="683" spans="2:7" s="1" customFormat="1">
      <c r="B683" s="33"/>
      <c r="E683" s="27"/>
      <c r="F683" s="37"/>
      <c r="G683" s="33"/>
    </row>
    <row r="684" spans="2:7" s="1" customFormat="1">
      <c r="B684" s="33"/>
      <c r="E684" s="27"/>
      <c r="F684" s="37"/>
      <c r="G684" s="33"/>
    </row>
    <row r="685" spans="2:7" s="1" customFormat="1">
      <c r="B685" s="33"/>
      <c r="E685" s="27"/>
      <c r="F685" s="37"/>
      <c r="G685" s="33"/>
    </row>
    <row r="686" spans="2:7" s="1" customFormat="1">
      <c r="B686" s="33"/>
      <c r="E686" s="27"/>
      <c r="F686" s="37"/>
      <c r="G686" s="33"/>
    </row>
    <row r="687" spans="2:7" s="1" customFormat="1">
      <c r="B687" s="33"/>
      <c r="E687" s="27"/>
      <c r="F687" s="37"/>
      <c r="G687" s="33"/>
    </row>
    <row r="688" spans="2:7" s="1" customFormat="1">
      <c r="B688" s="33"/>
      <c r="E688" s="27"/>
      <c r="F688" s="37"/>
      <c r="G688" s="33"/>
    </row>
    <row r="689" spans="2:7" s="1" customFormat="1">
      <c r="B689" s="33"/>
      <c r="E689" s="27"/>
      <c r="F689" s="37"/>
      <c r="G689" s="33"/>
    </row>
    <row r="690" spans="2:7" s="1" customFormat="1">
      <c r="B690" s="33"/>
      <c r="E690" s="27"/>
      <c r="F690" s="37"/>
      <c r="G690" s="33"/>
    </row>
    <row r="691" spans="2:7" s="1" customFormat="1">
      <c r="B691" s="33"/>
      <c r="E691" s="27"/>
      <c r="F691" s="37"/>
      <c r="G691" s="33"/>
    </row>
    <row r="692" spans="2:7" s="1" customFormat="1">
      <c r="B692" s="33"/>
      <c r="E692" s="27"/>
      <c r="F692" s="37"/>
      <c r="G692" s="33"/>
    </row>
    <row r="693" spans="2:7" s="1" customFormat="1">
      <c r="B693" s="33"/>
      <c r="E693" s="27"/>
      <c r="F693" s="37"/>
      <c r="G693" s="33"/>
    </row>
    <row r="694" spans="2:7" s="1" customFormat="1">
      <c r="B694" s="33"/>
      <c r="E694" s="27"/>
      <c r="F694" s="37"/>
      <c r="G694" s="33"/>
    </row>
    <row r="695" spans="2:7" s="1" customFormat="1">
      <c r="B695" s="33"/>
      <c r="E695" s="27"/>
      <c r="F695" s="37"/>
      <c r="G695" s="33"/>
    </row>
    <row r="696" spans="2:7" s="1" customFormat="1">
      <c r="B696" s="33"/>
      <c r="E696" s="27"/>
      <c r="F696" s="37"/>
      <c r="G696" s="33"/>
    </row>
    <row r="697" spans="2:7" s="1" customFormat="1">
      <c r="B697" s="33"/>
      <c r="E697" s="27"/>
      <c r="F697" s="37"/>
      <c r="G697" s="33"/>
    </row>
    <row r="698" spans="2:7" s="1" customFormat="1">
      <c r="B698" s="33"/>
      <c r="E698" s="27"/>
      <c r="F698" s="37"/>
      <c r="G698" s="33"/>
    </row>
    <row r="699" spans="2:7" s="1" customFormat="1">
      <c r="B699" s="33"/>
      <c r="E699" s="27"/>
      <c r="F699" s="37"/>
      <c r="G699" s="33"/>
    </row>
    <row r="700" spans="2:7" s="1" customFormat="1">
      <c r="B700" s="33"/>
      <c r="E700" s="27"/>
      <c r="F700" s="37"/>
      <c r="G700" s="33"/>
    </row>
    <row r="701" spans="2:7" s="1" customFormat="1">
      <c r="B701" s="33"/>
      <c r="E701" s="27"/>
      <c r="F701" s="37"/>
      <c r="G701" s="33"/>
    </row>
    <row r="702" spans="2:7" s="1" customFormat="1">
      <c r="B702" s="33"/>
      <c r="E702" s="27"/>
      <c r="F702" s="37"/>
      <c r="G702" s="33"/>
    </row>
    <row r="703" spans="2:7" s="1" customFormat="1">
      <c r="B703" s="33"/>
      <c r="E703" s="27"/>
      <c r="F703" s="37"/>
      <c r="G703" s="33"/>
    </row>
    <row r="704" spans="2:7" s="1" customFormat="1">
      <c r="B704" s="33"/>
      <c r="E704" s="27"/>
      <c r="F704" s="37"/>
      <c r="G704" s="33"/>
    </row>
    <row r="705" spans="2:7" s="1" customFormat="1">
      <c r="B705" s="33"/>
      <c r="E705" s="27"/>
      <c r="F705" s="37"/>
      <c r="G705" s="33"/>
    </row>
    <row r="706" spans="2:7" s="1" customFormat="1">
      <c r="B706" s="33"/>
      <c r="E706" s="27"/>
      <c r="F706" s="37"/>
      <c r="G706" s="33"/>
    </row>
    <row r="707" spans="2:7" s="1" customFormat="1">
      <c r="B707" s="33"/>
      <c r="E707" s="27"/>
      <c r="F707" s="37"/>
      <c r="G707" s="33"/>
    </row>
    <row r="708" spans="2:7" s="1" customFormat="1">
      <c r="B708" s="33"/>
      <c r="E708" s="27"/>
      <c r="F708" s="37"/>
      <c r="G708" s="33"/>
    </row>
    <row r="709" spans="2:7" s="1" customFormat="1">
      <c r="B709" s="33"/>
      <c r="E709" s="27"/>
      <c r="F709" s="37"/>
      <c r="G709" s="33"/>
    </row>
    <row r="710" spans="2:7" s="1" customFormat="1">
      <c r="B710" s="33"/>
      <c r="E710" s="27"/>
      <c r="F710" s="37"/>
      <c r="G710" s="33"/>
    </row>
    <row r="711" spans="2:7" s="1" customFormat="1">
      <c r="B711" s="33"/>
      <c r="E711" s="27"/>
      <c r="F711" s="37"/>
      <c r="G711" s="33"/>
    </row>
    <row r="712" spans="2:7" s="1" customFormat="1">
      <c r="B712" s="33"/>
      <c r="E712" s="27"/>
      <c r="F712" s="37"/>
      <c r="G712" s="33"/>
    </row>
    <row r="713" spans="2:7" s="1" customFormat="1">
      <c r="B713" s="33"/>
      <c r="E713" s="27"/>
      <c r="F713" s="37"/>
      <c r="G713" s="33"/>
    </row>
    <row r="714" spans="2:7" s="1" customFormat="1">
      <c r="B714" s="33"/>
      <c r="E714" s="27"/>
      <c r="F714" s="37"/>
      <c r="G714" s="33"/>
    </row>
    <row r="715" spans="2:7" s="1" customFormat="1">
      <c r="B715" s="33"/>
      <c r="E715" s="27"/>
      <c r="F715" s="37"/>
      <c r="G715" s="33"/>
    </row>
    <row r="716" spans="2:7" s="1" customFormat="1">
      <c r="B716" s="33"/>
      <c r="E716" s="27"/>
      <c r="F716" s="37"/>
      <c r="G716" s="33"/>
    </row>
    <row r="717" spans="2:7" s="1" customFormat="1">
      <c r="B717" s="33"/>
      <c r="E717" s="27"/>
      <c r="F717" s="37"/>
      <c r="G717" s="33"/>
    </row>
    <row r="718" spans="2:7" s="1" customFormat="1">
      <c r="B718" s="33"/>
      <c r="E718" s="27"/>
      <c r="F718" s="37"/>
      <c r="G718" s="33"/>
    </row>
    <row r="719" spans="2:7" s="1" customFormat="1">
      <c r="B719" s="33"/>
      <c r="E719" s="27"/>
      <c r="F719" s="37"/>
      <c r="G719" s="33"/>
    </row>
    <row r="720" spans="2:7" s="1" customFormat="1">
      <c r="B720" s="33"/>
      <c r="E720" s="27"/>
      <c r="F720" s="37"/>
      <c r="G720" s="33"/>
    </row>
    <row r="721" spans="2:7" s="1" customFormat="1">
      <c r="B721" s="33"/>
      <c r="E721" s="27"/>
      <c r="F721" s="37"/>
      <c r="G721" s="33"/>
    </row>
    <row r="722" spans="2:7" s="1" customFormat="1">
      <c r="B722" s="33"/>
      <c r="E722" s="27"/>
      <c r="F722" s="37"/>
      <c r="G722" s="33"/>
    </row>
    <row r="723" spans="2:7" s="1" customFormat="1">
      <c r="B723" s="33"/>
      <c r="E723" s="27"/>
      <c r="F723" s="37"/>
      <c r="G723" s="33"/>
    </row>
    <row r="724" spans="2:7" s="1" customFormat="1">
      <c r="B724" s="33"/>
      <c r="E724" s="27"/>
      <c r="F724" s="37"/>
      <c r="G724" s="33"/>
    </row>
    <row r="725" spans="2:7" s="1" customFormat="1">
      <c r="B725" s="33"/>
      <c r="E725" s="27"/>
      <c r="F725" s="37"/>
      <c r="G725" s="33"/>
    </row>
    <row r="726" spans="2:7" s="1" customFormat="1">
      <c r="B726" s="33"/>
      <c r="E726" s="27"/>
      <c r="F726" s="37"/>
      <c r="G726" s="33"/>
    </row>
    <row r="727" spans="2:7" s="1" customFormat="1">
      <c r="B727" s="33"/>
      <c r="E727" s="27"/>
      <c r="F727" s="37"/>
      <c r="G727" s="33"/>
    </row>
    <row r="728" spans="2:7" s="1" customFormat="1">
      <c r="B728" s="33"/>
      <c r="E728" s="27"/>
      <c r="F728" s="37"/>
      <c r="G728" s="33"/>
    </row>
    <row r="729" spans="2:7" s="1" customFormat="1">
      <c r="B729" s="33"/>
      <c r="E729" s="27"/>
      <c r="F729" s="37"/>
      <c r="G729" s="33"/>
    </row>
    <row r="730" spans="2:7" s="1" customFormat="1">
      <c r="B730" s="33"/>
      <c r="E730" s="27"/>
      <c r="F730" s="37"/>
      <c r="G730" s="33"/>
    </row>
    <row r="731" spans="2:7" s="1" customFormat="1">
      <c r="B731" s="33"/>
      <c r="E731" s="27"/>
      <c r="F731" s="37"/>
      <c r="G731" s="33"/>
    </row>
    <row r="732" spans="2:7" s="1" customFormat="1">
      <c r="B732" s="33"/>
      <c r="E732" s="27"/>
      <c r="F732" s="37"/>
      <c r="G732" s="33"/>
    </row>
    <row r="733" spans="2:7" s="1" customFormat="1">
      <c r="B733" s="33"/>
      <c r="E733" s="27"/>
      <c r="F733" s="37"/>
      <c r="G733" s="33"/>
    </row>
    <row r="734" spans="2:7" s="1" customFormat="1">
      <c r="B734" s="33"/>
      <c r="E734" s="27"/>
      <c r="F734" s="37"/>
      <c r="G734" s="33"/>
    </row>
    <row r="735" spans="2:7" s="1" customFormat="1">
      <c r="B735" s="33"/>
      <c r="E735" s="27"/>
      <c r="F735" s="37"/>
      <c r="G735" s="33"/>
    </row>
    <row r="736" spans="2:7" s="1" customFormat="1">
      <c r="B736" s="33"/>
      <c r="E736" s="27"/>
      <c r="F736" s="37"/>
      <c r="G736" s="33"/>
    </row>
    <row r="737" spans="2:7" s="1" customFormat="1">
      <c r="B737" s="33"/>
      <c r="E737" s="27"/>
      <c r="F737" s="37"/>
      <c r="G737" s="33"/>
    </row>
    <row r="738" spans="2:7" s="1" customFormat="1">
      <c r="B738" s="33"/>
      <c r="E738" s="27"/>
      <c r="F738" s="37"/>
      <c r="G738" s="33"/>
    </row>
    <row r="739" spans="2:7" s="1" customFormat="1">
      <c r="B739" s="33"/>
      <c r="E739" s="27"/>
      <c r="F739" s="37"/>
      <c r="G739" s="33"/>
    </row>
    <row r="740" spans="2:7" s="1" customFormat="1">
      <c r="B740" s="33"/>
      <c r="E740" s="27"/>
      <c r="F740" s="37"/>
      <c r="G740" s="33"/>
    </row>
    <row r="741" spans="2:7" s="1" customFormat="1">
      <c r="B741" s="33"/>
      <c r="E741" s="27"/>
      <c r="F741" s="37"/>
      <c r="G741" s="33"/>
    </row>
    <row r="742" spans="2:7" s="1" customFormat="1">
      <c r="B742" s="33"/>
      <c r="E742" s="27"/>
      <c r="F742" s="37"/>
      <c r="G742" s="33"/>
    </row>
    <row r="743" spans="2:7" s="1" customFormat="1">
      <c r="B743" s="33"/>
      <c r="E743" s="27"/>
      <c r="F743" s="37"/>
      <c r="G743" s="33"/>
    </row>
    <row r="744" spans="2:7" s="1" customFormat="1">
      <c r="B744" s="33"/>
      <c r="E744" s="27"/>
      <c r="F744" s="37"/>
      <c r="G744" s="33"/>
    </row>
    <row r="745" spans="2:7" s="1" customFormat="1">
      <c r="B745" s="33"/>
      <c r="E745" s="27"/>
      <c r="F745" s="37"/>
      <c r="G745" s="33"/>
    </row>
    <row r="746" spans="2:7" s="1" customFormat="1">
      <c r="B746" s="33"/>
      <c r="E746" s="27"/>
      <c r="F746" s="37"/>
      <c r="G746" s="33"/>
    </row>
    <row r="747" spans="2:7" s="1" customFormat="1">
      <c r="B747" s="33"/>
      <c r="E747" s="27"/>
      <c r="F747" s="37"/>
      <c r="G747" s="33"/>
    </row>
    <row r="748" spans="2:7" s="1" customFormat="1">
      <c r="B748" s="33"/>
      <c r="E748" s="27"/>
      <c r="F748" s="37"/>
      <c r="G748" s="33"/>
    </row>
    <row r="749" spans="2:7" s="1" customFormat="1">
      <c r="B749" s="33"/>
      <c r="E749" s="27"/>
      <c r="F749" s="37"/>
      <c r="G749" s="33"/>
    </row>
    <row r="750" spans="2:7" s="1" customFormat="1">
      <c r="B750" s="33"/>
      <c r="E750" s="27"/>
      <c r="F750" s="37"/>
      <c r="G750" s="33"/>
    </row>
    <row r="751" spans="2:7" s="1" customFormat="1">
      <c r="B751" s="33"/>
      <c r="E751" s="27"/>
      <c r="F751" s="37"/>
      <c r="G751" s="33"/>
    </row>
    <row r="752" spans="2:7" s="1" customFormat="1">
      <c r="B752" s="33"/>
      <c r="E752" s="27"/>
      <c r="F752" s="37"/>
      <c r="G752" s="33"/>
    </row>
    <row r="753" spans="2:7" s="1" customFormat="1">
      <c r="B753" s="33"/>
      <c r="E753" s="27"/>
      <c r="F753" s="37"/>
      <c r="G753" s="33"/>
    </row>
    <row r="754" spans="2:7" s="1" customFormat="1">
      <c r="B754" s="33"/>
      <c r="E754" s="27"/>
      <c r="F754" s="37"/>
      <c r="G754" s="33"/>
    </row>
    <row r="755" spans="2:7" s="1" customFormat="1">
      <c r="B755" s="33"/>
      <c r="E755" s="27"/>
      <c r="F755" s="37"/>
      <c r="G755" s="33"/>
    </row>
    <row r="756" spans="2:7" s="1" customFormat="1">
      <c r="B756" s="33"/>
      <c r="E756" s="27"/>
      <c r="F756" s="37"/>
      <c r="G756" s="33"/>
    </row>
    <row r="757" spans="2:7" s="1" customFormat="1">
      <c r="B757" s="33"/>
      <c r="E757" s="27"/>
      <c r="F757" s="37"/>
      <c r="G757" s="33"/>
    </row>
    <row r="758" spans="2:7" s="1" customFormat="1">
      <c r="B758" s="33"/>
      <c r="E758" s="27"/>
      <c r="F758" s="37"/>
      <c r="G758" s="33"/>
    </row>
    <row r="759" spans="2:7" s="1" customFormat="1">
      <c r="B759" s="33"/>
      <c r="E759" s="27"/>
      <c r="F759" s="37"/>
      <c r="G759" s="33"/>
    </row>
    <row r="760" spans="2:7" s="1" customFormat="1">
      <c r="B760" s="33"/>
      <c r="E760" s="27"/>
      <c r="F760" s="37"/>
      <c r="G760" s="33"/>
    </row>
    <row r="761" spans="2:7" s="1" customFormat="1">
      <c r="B761" s="33"/>
      <c r="E761" s="27"/>
      <c r="F761" s="37"/>
      <c r="G761" s="33"/>
    </row>
    <row r="762" spans="2:7" s="1" customFormat="1">
      <c r="B762" s="33"/>
      <c r="E762" s="27"/>
      <c r="F762" s="37"/>
      <c r="G762" s="33"/>
    </row>
    <row r="763" spans="2:7" s="1" customFormat="1">
      <c r="B763" s="33"/>
      <c r="E763" s="27"/>
      <c r="F763" s="37"/>
      <c r="G763" s="33"/>
    </row>
    <row r="764" spans="2:7" s="1" customFormat="1">
      <c r="B764" s="33"/>
      <c r="E764" s="27"/>
      <c r="F764" s="37"/>
      <c r="G764" s="33"/>
    </row>
    <row r="765" spans="2:7" s="1" customFormat="1">
      <c r="B765" s="33"/>
      <c r="E765" s="27"/>
      <c r="F765" s="37"/>
      <c r="G765" s="33"/>
    </row>
    <row r="766" spans="2:7" s="1" customFormat="1">
      <c r="B766" s="33"/>
      <c r="E766" s="27"/>
      <c r="F766" s="37"/>
      <c r="G766" s="33"/>
    </row>
    <row r="767" spans="2:7" s="1" customFormat="1">
      <c r="B767" s="33"/>
      <c r="E767" s="27"/>
      <c r="F767" s="37"/>
      <c r="G767" s="33"/>
    </row>
    <row r="768" spans="2:7" s="1" customFormat="1">
      <c r="B768" s="33"/>
      <c r="E768" s="27"/>
      <c r="F768" s="37"/>
      <c r="G768" s="33"/>
    </row>
    <row r="769" spans="2:7" s="1" customFormat="1">
      <c r="B769" s="33"/>
      <c r="E769" s="27"/>
      <c r="F769" s="37"/>
      <c r="G769" s="33"/>
    </row>
    <row r="770" spans="2:7" s="1" customFormat="1">
      <c r="B770" s="33"/>
      <c r="E770" s="27"/>
      <c r="F770" s="37"/>
      <c r="G770" s="33"/>
    </row>
    <row r="771" spans="2:7" s="1" customFormat="1">
      <c r="B771" s="33"/>
      <c r="E771" s="27"/>
      <c r="F771" s="37"/>
      <c r="G771" s="33"/>
    </row>
    <row r="772" spans="2:7" s="1" customFormat="1">
      <c r="B772" s="33"/>
      <c r="E772" s="27"/>
      <c r="F772" s="37"/>
      <c r="G772" s="33"/>
    </row>
    <row r="773" spans="2:7" s="1" customFormat="1">
      <c r="B773" s="33"/>
      <c r="E773" s="27"/>
      <c r="F773" s="37"/>
      <c r="G773" s="33"/>
    </row>
    <row r="774" spans="2:7" s="1" customFormat="1">
      <c r="B774" s="33"/>
      <c r="E774" s="27"/>
      <c r="F774" s="37"/>
      <c r="G774" s="33"/>
    </row>
    <row r="775" spans="2:7" s="1" customFormat="1">
      <c r="B775" s="33"/>
      <c r="E775" s="27"/>
      <c r="F775" s="37"/>
      <c r="G775" s="33"/>
    </row>
    <row r="776" spans="2:7" s="1" customFormat="1">
      <c r="B776" s="33"/>
      <c r="E776" s="27"/>
      <c r="F776" s="37"/>
      <c r="G776" s="33"/>
    </row>
    <row r="777" spans="2:7" s="1" customFormat="1">
      <c r="B777" s="33"/>
      <c r="E777" s="27"/>
      <c r="F777" s="37"/>
      <c r="G777" s="33"/>
    </row>
    <row r="778" spans="2:7" s="1" customFormat="1">
      <c r="B778" s="33"/>
      <c r="E778" s="27"/>
      <c r="F778" s="37"/>
      <c r="G778" s="33"/>
    </row>
    <row r="779" spans="2:7" s="1" customFormat="1">
      <c r="B779" s="33"/>
      <c r="E779" s="27"/>
      <c r="F779" s="37"/>
      <c r="G779" s="33"/>
    </row>
    <row r="780" spans="2:7" s="1" customFormat="1">
      <c r="B780" s="33"/>
      <c r="E780" s="27"/>
      <c r="F780" s="37"/>
      <c r="G780" s="33"/>
    </row>
    <row r="781" spans="2:7" s="1" customFormat="1">
      <c r="B781" s="33"/>
      <c r="E781" s="27"/>
      <c r="F781" s="37"/>
      <c r="G781" s="33"/>
    </row>
    <row r="782" spans="2:7" s="1" customFormat="1">
      <c r="B782" s="33"/>
      <c r="E782" s="27"/>
      <c r="F782" s="37"/>
      <c r="G782" s="33"/>
    </row>
    <row r="783" spans="2:7" s="1" customFormat="1">
      <c r="B783" s="33"/>
      <c r="E783" s="27"/>
      <c r="F783" s="37"/>
      <c r="G783" s="33"/>
    </row>
    <row r="784" spans="2:7" s="1" customFormat="1">
      <c r="B784" s="33"/>
      <c r="E784" s="27"/>
      <c r="F784" s="37"/>
      <c r="G784" s="33"/>
    </row>
    <row r="785" spans="2:7" s="1" customFormat="1">
      <c r="B785" s="33"/>
      <c r="E785" s="27"/>
      <c r="F785" s="37"/>
      <c r="G785" s="33"/>
    </row>
    <row r="786" spans="2:7" s="1" customFormat="1">
      <c r="B786" s="33"/>
      <c r="E786" s="27"/>
      <c r="F786" s="37"/>
      <c r="G786" s="33"/>
    </row>
    <row r="787" spans="2:7" s="1" customFormat="1">
      <c r="B787" s="33"/>
      <c r="E787" s="27"/>
      <c r="F787" s="37"/>
      <c r="G787" s="33"/>
    </row>
    <row r="788" spans="2:7" s="1" customFormat="1">
      <c r="B788" s="33"/>
      <c r="E788" s="27"/>
      <c r="F788" s="37"/>
      <c r="G788" s="33"/>
    </row>
    <row r="789" spans="2:7" s="1" customFormat="1">
      <c r="B789" s="33"/>
      <c r="E789" s="27"/>
      <c r="F789" s="37"/>
      <c r="G789" s="33"/>
    </row>
    <row r="790" spans="2:7" s="1" customFormat="1">
      <c r="B790" s="33"/>
      <c r="E790" s="27"/>
      <c r="F790" s="37"/>
      <c r="G790" s="33"/>
    </row>
    <row r="791" spans="2:7" s="1" customFormat="1">
      <c r="B791" s="33"/>
      <c r="E791" s="27"/>
      <c r="F791" s="37"/>
      <c r="G791" s="33"/>
    </row>
    <row r="792" spans="2:7" s="1" customFormat="1">
      <c r="B792" s="33"/>
      <c r="E792" s="27"/>
      <c r="F792" s="37"/>
      <c r="G792" s="33"/>
    </row>
    <row r="793" spans="2:7" s="1" customFormat="1">
      <c r="B793" s="33"/>
      <c r="E793" s="27"/>
      <c r="F793" s="37"/>
      <c r="G793" s="33"/>
    </row>
    <row r="794" spans="2:7" s="1" customFormat="1">
      <c r="B794" s="33"/>
      <c r="E794" s="27"/>
      <c r="F794" s="37"/>
      <c r="G794" s="33"/>
    </row>
    <row r="795" spans="2:7" s="1" customFormat="1">
      <c r="B795" s="33"/>
      <c r="E795" s="27"/>
      <c r="F795" s="37"/>
      <c r="G795" s="33"/>
    </row>
    <row r="796" spans="2:7" s="1" customFormat="1">
      <c r="B796" s="33"/>
      <c r="E796" s="27"/>
      <c r="F796" s="37"/>
      <c r="G796" s="33"/>
    </row>
    <row r="797" spans="2:7" s="1" customFormat="1">
      <c r="B797" s="33"/>
      <c r="E797" s="27"/>
      <c r="F797" s="37"/>
      <c r="G797" s="33"/>
    </row>
    <row r="798" spans="2:7" s="1" customFormat="1">
      <c r="B798" s="33"/>
      <c r="E798" s="27"/>
      <c r="F798" s="37"/>
      <c r="G798" s="33"/>
    </row>
    <row r="799" spans="2:7" s="1" customFormat="1">
      <c r="B799" s="33"/>
      <c r="E799" s="27"/>
      <c r="F799" s="37"/>
      <c r="G799" s="33"/>
    </row>
    <row r="800" spans="2:7" s="1" customFormat="1">
      <c r="B800" s="33"/>
      <c r="E800" s="27"/>
      <c r="F800" s="37"/>
      <c r="G800" s="33"/>
    </row>
    <row r="801" spans="2:7" s="1" customFormat="1">
      <c r="B801" s="33"/>
      <c r="E801" s="27"/>
      <c r="F801" s="37"/>
      <c r="G801" s="33"/>
    </row>
    <row r="802" spans="2:7" s="1" customFormat="1">
      <c r="B802" s="33"/>
      <c r="E802" s="27"/>
      <c r="F802" s="37"/>
      <c r="G802" s="33"/>
    </row>
    <row r="803" spans="2:7" s="1" customFormat="1">
      <c r="B803" s="33"/>
      <c r="E803" s="27"/>
      <c r="F803" s="37"/>
      <c r="G803" s="33"/>
    </row>
    <row r="804" spans="2:7" s="1" customFormat="1">
      <c r="B804" s="33"/>
      <c r="E804" s="27"/>
      <c r="F804" s="37"/>
      <c r="G804" s="33"/>
    </row>
    <row r="805" spans="2:7" s="1" customFormat="1">
      <c r="B805" s="33"/>
      <c r="E805" s="27"/>
      <c r="F805" s="37"/>
      <c r="G805" s="33"/>
    </row>
    <row r="806" spans="2:7" s="1" customFormat="1">
      <c r="B806" s="33"/>
      <c r="E806" s="27"/>
      <c r="F806" s="37"/>
      <c r="G806" s="33"/>
    </row>
    <row r="807" spans="2:7" s="1" customFormat="1">
      <c r="B807" s="33"/>
      <c r="E807" s="27"/>
      <c r="F807" s="37"/>
      <c r="G807" s="33"/>
    </row>
    <row r="808" spans="2:7" s="1" customFormat="1">
      <c r="B808" s="33"/>
      <c r="E808" s="27"/>
      <c r="F808" s="37"/>
      <c r="G808" s="33"/>
    </row>
    <row r="809" spans="2:7" s="1" customFormat="1">
      <c r="B809" s="33"/>
      <c r="E809" s="27"/>
      <c r="F809" s="37"/>
      <c r="G809" s="33"/>
    </row>
    <row r="810" spans="2:7" s="1" customFormat="1">
      <c r="B810" s="33"/>
      <c r="E810" s="27"/>
      <c r="F810" s="37"/>
      <c r="G810" s="33"/>
    </row>
    <row r="811" spans="2:7" s="1" customFormat="1">
      <c r="B811" s="33"/>
      <c r="E811" s="27"/>
      <c r="F811" s="37"/>
      <c r="G811" s="33"/>
    </row>
    <row r="812" spans="2:7" s="1" customFormat="1">
      <c r="B812" s="33"/>
      <c r="E812" s="27"/>
      <c r="F812" s="37"/>
      <c r="G812" s="33"/>
    </row>
    <row r="813" spans="2:7" s="1" customFormat="1">
      <c r="B813" s="33"/>
      <c r="E813" s="27"/>
      <c r="F813" s="37"/>
      <c r="G813" s="33"/>
    </row>
    <row r="814" spans="2:7" s="1" customFormat="1">
      <c r="B814" s="33"/>
      <c r="E814" s="27"/>
      <c r="F814" s="37"/>
      <c r="G814" s="33"/>
    </row>
    <row r="815" spans="2:7" s="1" customFormat="1">
      <c r="B815" s="33"/>
      <c r="E815" s="27"/>
      <c r="F815" s="37"/>
      <c r="G815" s="33"/>
    </row>
    <row r="816" spans="2:7" s="1" customFormat="1">
      <c r="B816" s="33"/>
      <c r="E816" s="27"/>
      <c r="F816" s="37"/>
      <c r="G816" s="33"/>
    </row>
    <row r="817" spans="2:7" s="1" customFormat="1">
      <c r="B817" s="33"/>
      <c r="E817" s="27"/>
      <c r="F817" s="37"/>
      <c r="G817" s="33"/>
    </row>
    <row r="818" spans="2:7" s="1" customFormat="1">
      <c r="B818" s="33"/>
      <c r="E818" s="27"/>
      <c r="F818" s="37"/>
      <c r="G818" s="33"/>
    </row>
    <row r="819" spans="2:7" s="1" customFormat="1">
      <c r="B819" s="33"/>
      <c r="E819" s="27"/>
      <c r="F819" s="37"/>
      <c r="G819" s="33"/>
    </row>
    <row r="820" spans="2:7" s="1" customFormat="1">
      <c r="B820" s="33"/>
      <c r="E820" s="27"/>
      <c r="F820" s="37"/>
      <c r="G820" s="33"/>
    </row>
    <row r="821" spans="2:7" s="1" customFormat="1">
      <c r="B821" s="33"/>
      <c r="E821" s="27"/>
      <c r="F821" s="37"/>
      <c r="G821" s="33"/>
    </row>
    <row r="822" spans="2:7" s="1" customFormat="1">
      <c r="B822" s="33"/>
      <c r="E822" s="27"/>
      <c r="F822" s="37"/>
      <c r="G822" s="33"/>
    </row>
    <row r="823" spans="2:7" s="1" customFormat="1">
      <c r="B823" s="33"/>
      <c r="E823" s="27"/>
      <c r="F823" s="37"/>
      <c r="G823" s="33"/>
    </row>
    <row r="824" spans="2:7" s="1" customFormat="1">
      <c r="B824" s="33"/>
      <c r="E824" s="27"/>
      <c r="F824" s="37"/>
      <c r="G824" s="33"/>
    </row>
    <row r="825" spans="2:7" s="1" customFormat="1">
      <c r="B825" s="33"/>
      <c r="E825" s="27"/>
      <c r="F825" s="37"/>
      <c r="G825" s="33"/>
    </row>
    <row r="826" spans="2:7" s="1" customFormat="1">
      <c r="B826" s="33"/>
      <c r="E826" s="27"/>
      <c r="F826" s="37"/>
      <c r="G826" s="33"/>
    </row>
    <row r="827" spans="2:7" s="1" customFormat="1">
      <c r="B827" s="33"/>
      <c r="E827" s="27"/>
      <c r="F827" s="37"/>
      <c r="G827" s="33"/>
    </row>
    <row r="828" spans="2:7" s="1" customFormat="1">
      <c r="B828" s="33"/>
      <c r="E828" s="27"/>
      <c r="F828" s="37"/>
      <c r="G828" s="33"/>
    </row>
    <row r="829" spans="2:7" s="1" customFormat="1">
      <c r="B829" s="33"/>
      <c r="E829" s="27"/>
      <c r="F829" s="37"/>
      <c r="G829" s="33"/>
    </row>
    <row r="830" spans="2:7" s="1" customFormat="1">
      <c r="B830" s="33"/>
      <c r="E830" s="27"/>
      <c r="F830" s="37"/>
      <c r="G830" s="33"/>
    </row>
    <row r="831" spans="2:7" s="1" customFormat="1">
      <c r="B831" s="33"/>
      <c r="E831" s="27"/>
      <c r="F831" s="37"/>
      <c r="G831" s="33"/>
    </row>
    <row r="832" spans="2:7" s="1" customFormat="1">
      <c r="B832" s="33"/>
      <c r="E832" s="27"/>
      <c r="F832" s="37"/>
      <c r="G832" s="33"/>
    </row>
    <row r="833" spans="2:7" s="1" customFormat="1">
      <c r="B833" s="33"/>
      <c r="E833" s="27"/>
      <c r="F833" s="37"/>
      <c r="G833" s="33"/>
    </row>
    <row r="834" spans="2:7" s="1" customFormat="1">
      <c r="B834" s="33"/>
      <c r="E834" s="27"/>
      <c r="F834" s="37"/>
      <c r="G834" s="33"/>
    </row>
    <row r="835" spans="2:7" s="1" customFormat="1">
      <c r="B835" s="33"/>
      <c r="E835" s="27"/>
      <c r="F835" s="37"/>
      <c r="G835" s="33"/>
    </row>
    <row r="836" spans="2:7" s="1" customFormat="1">
      <c r="B836" s="33"/>
      <c r="E836" s="27"/>
      <c r="F836" s="37"/>
      <c r="G836" s="33"/>
    </row>
    <row r="837" spans="2:7" s="1" customFormat="1">
      <c r="B837" s="33"/>
      <c r="E837" s="27"/>
      <c r="F837" s="37"/>
      <c r="G837" s="33"/>
    </row>
    <row r="838" spans="2:7" s="1" customFormat="1">
      <c r="B838" s="33"/>
      <c r="E838" s="27"/>
      <c r="F838" s="37"/>
      <c r="G838" s="33"/>
    </row>
    <row r="839" spans="2:7" s="1" customFormat="1">
      <c r="B839" s="33"/>
      <c r="E839" s="27"/>
      <c r="F839" s="37"/>
      <c r="G839" s="33"/>
    </row>
    <row r="840" spans="2:7" s="1" customFormat="1">
      <c r="B840" s="33"/>
      <c r="E840" s="27"/>
      <c r="F840" s="37"/>
      <c r="G840" s="33"/>
    </row>
    <row r="841" spans="2:7" s="1" customFormat="1">
      <c r="B841" s="33"/>
      <c r="E841" s="27"/>
      <c r="F841" s="37"/>
      <c r="G841" s="33"/>
    </row>
    <row r="842" spans="2:7" s="1" customFormat="1">
      <c r="B842" s="33"/>
      <c r="E842" s="27"/>
      <c r="F842" s="37"/>
      <c r="G842" s="33"/>
    </row>
    <row r="843" spans="2:7" s="1" customFormat="1">
      <c r="B843" s="33"/>
      <c r="E843" s="27"/>
      <c r="F843" s="37"/>
      <c r="G843" s="33"/>
    </row>
    <row r="844" spans="2:7" s="1" customFormat="1">
      <c r="B844" s="33"/>
      <c r="E844" s="27"/>
      <c r="F844" s="37"/>
      <c r="G844" s="33"/>
    </row>
    <row r="845" spans="2:7" s="1" customFormat="1">
      <c r="B845" s="33"/>
      <c r="E845" s="27"/>
      <c r="F845" s="37"/>
      <c r="G845" s="33"/>
    </row>
    <row r="846" spans="2:7" s="1" customFormat="1">
      <c r="B846" s="33"/>
      <c r="E846" s="27"/>
      <c r="F846" s="37"/>
      <c r="G846" s="33"/>
    </row>
    <row r="847" spans="2:7" s="1" customFormat="1">
      <c r="B847" s="33"/>
      <c r="E847" s="27"/>
      <c r="F847" s="37"/>
      <c r="G847" s="33"/>
    </row>
    <row r="848" spans="2:7" s="1" customFormat="1">
      <c r="B848" s="33"/>
      <c r="E848" s="27"/>
      <c r="F848" s="37"/>
      <c r="G848" s="33"/>
    </row>
    <row r="849" spans="2:7" s="1" customFormat="1">
      <c r="B849" s="33"/>
      <c r="E849" s="27"/>
      <c r="F849" s="37"/>
      <c r="G849" s="33"/>
    </row>
    <row r="850" spans="2:7" s="1" customFormat="1">
      <c r="B850" s="33"/>
      <c r="E850" s="27"/>
      <c r="F850" s="37"/>
      <c r="G850" s="33"/>
    </row>
    <row r="851" spans="2:7" s="1" customFormat="1">
      <c r="B851" s="33"/>
      <c r="E851" s="27"/>
      <c r="F851" s="37"/>
      <c r="G851" s="33"/>
    </row>
    <row r="852" spans="2:7" s="1" customFormat="1">
      <c r="B852" s="33"/>
      <c r="E852" s="27"/>
      <c r="F852" s="37"/>
      <c r="G852" s="33"/>
    </row>
    <row r="853" spans="2:7" s="1" customFormat="1">
      <c r="B853" s="33"/>
      <c r="E853" s="27"/>
      <c r="F853" s="37"/>
      <c r="G853" s="33"/>
    </row>
    <row r="854" spans="2:7" s="1" customFormat="1">
      <c r="B854" s="33"/>
      <c r="E854" s="27"/>
      <c r="F854" s="37"/>
      <c r="G854" s="33"/>
    </row>
    <row r="855" spans="2:7" s="1" customFormat="1">
      <c r="B855" s="33"/>
      <c r="E855" s="27"/>
      <c r="F855" s="37"/>
      <c r="G855" s="33"/>
    </row>
    <row r="856" spans="2:7" s="1" customFormat="1">
      <c r="B856" s="33"/>
      <c r="E856" s="27"/>
      <c r="F856" s="37"/>
      <c r="G856" s="33"/>
    </row>
    <row r="857" spans="2:7" s="1" customFormat="1">
      <c r="B857" s="33"/>
      <c r="E857" s="27"/>
      <c r="F857" s="37"/>
      <c r="G857" s="33"/>
    </row>
    <row r="858" spans="2:7" s="1" customFormat="1">
      <c r="B858" s="33"/>
      <c r="E858" s="27"/>
      <c r="F858" s="37"/>
      <c r="G858" s="33"/>
    </row>
    <row r="859" spans="2:7" s="1" customFormat="1">
      <c r="B859" s="33"/>
      <c r="E859" s="27"/>
      <c r="F859" s="37"/>
      <c r="G859" s="33"/>
    </row>
    <row r="860" spans="2:7" s="1" customFormat="1">
      <c r="B860" s="33"/>
      <c r="E860" s="27"/>
      <c r="F860" s="37"/>
      <c r="G860" s="33"/>
    </row>
    <row r="861" spans="2:7" s="1" customFormat="1">
      <c r="B861" s="33"/>
      <c r="E861" s="27"/>
      <c r="F861" s="37"/>
      <c r="G861" s="33"/>
    </row>
    <row r="862" spans="2:7" s="1" customFormat="1">
      <c r="B862" s="33"/>
      <c r="E862" s="27"/>
      <c r="F862" s="37"/>
      <c r="G862" s="33"/>
    </row>
    <row r="863" spans="2:7" s="1" customFormat="1">
      <c r="B863" s="33"/>
      <c r="E863" s="27"/>
      <c r="F863" s="37"/>
      <c r="G863" s="33"/>
    </row>
    <row r="864" spans="2:7" s="1" customFormat="1">
      <c r="B864" s="33"/>
      <c r="E864" s="27"/>
      <c r="F864" s="37"/>
      <c r="G864" s="33"/>
    </row>
    <row r="865" spans="2:7" s="1" customFormat="1">
      <c r="B865" s="33"/>
      <c r="E865" s="27"/>
      <c r="F865" s="37"/>
      <c r="G865" s="33"/>
    </row>
    <row r="866" spans="2:7" s="1" customFormat="1">
      <c r="B866" s="33"/>
      <c r="E866" s="27"/>
      <c r="F866" s="37"/>
      <c r="G866" s="33"/>
    </row>
    <row r="867" spans="2:7" s="1" customFormat="1">
      <c r="B867" s="33"/>
      <c r="E867" s="27"/>
      <c r="F867" s="37"/>
      <c r="G867" s="33"/>
    </row>
    <row r="868" spans="2:7" s="1" customFormat="1">
      <c r="B868" s="33"/>
      <c r="E868" s="27"/>
      <c r="F868" s="37"/>
      <c r="G868" s="33"/>
    </row>
    <row r="869" spans="2:7" s="1" customFormat="1">
      <c r="B869" s="33"/>
      <c r="E869" s="27"/>
      <c r="F869" s="37"/>
      <c r="G869" s="33"/>
    </row>
    <row r="870" spans="2:7" s="1" customFormat="1">
      <c r="B870" s="33"/>
      <c r="E870" s="27"/>
      <c r="F870" s="37"/>
      <c r="G870" s="33"/>
    </row>
    <row r="871" spans="2:7" s="1" customFormat="1">
      <c r="B871" s="33"/>
      <c r="E871" s="27"/>
      <c r="F871" s="37"/>
      <c r="G871" s="33"/>
    </row>
    <row r="872" spans="2:7" s="1" customFormat="1">
      <c r="B872" s="33"/>
      <c r="E872" s="27"/>
      <c r="F872" s="37"/>
      <c r="G872" s="33"/>
    </row>
    <row r="873" spans="2:7" s="1" customFormat="1">
      <c r="B873" s="33"/>
      <c r="E873" s="27"/>
      <c r="F873" s="37"/>
      <c r="G873" s="33"/>
    </row>
    <row r="874" spans="2:7" s="1" customFormat="1">
      <c r="B874" s="33"/>
      <c r="E874" s="27"/>
      <c r="F874" s="37"/>
      <c r="G874" s="33"/>
    </row>
    <row r="875" spans="2:7" s="1" customFormat="1">
      <c r="B875" s="33"/>
      <c r="E875" s="27"/>
      <c r="F875" s="37"/>
      <c r="G875" s="33"/>
    </row>
    <row r="876" spans="2:7" s="1" customFormat="1">
      <c r="B876" s="33"/>
      <c r="E876" s="27"/>
      <c r="F876" s="37"/>
      <c r="G876" s="33"/>
    </row>
    <row r="877" spans="2:7" s="1" customFormat="1">
      <c r="B877" s="33"/>
      <c r="E877" s="27"/>
      <c r="F877" s="37"/>
      <c r="G877" s="33"/>
    </row>
    <row r="878" spans="2:7" s="1" customFormat="1">
      <c r="B878" s="33"/>
      <c r="E878" s="27"/>
      <c r="F878" s="37"/>
      <c r="G878" s="33"/>
    </row>
    <row r="879" spans="2:7" s="1" customFormat="1">
      <c r="B879" s="33"/>
      <c r="E879" s="27"/>
      <c r="F879" s="37"/>
      <c r="G879" s="33"/>
    </row>
    <row r="880" spans="2:7" s="1" customFormat="1">
      <c r="B880" s="33"/>
      <c r="E880" s="27"/>
      <c r="F880" s="37"/>
      <c r="G880" s="33"/>
    </row>
    <row r="881" spans="2:7" s="1" customFormat="1">
      <c r="B881" s="33"/>
      <c r="E881" s="27"/>
      <c r="F881" s="37"/>
      <c r="G881" s="33"/>
    </row>
    <row r="882" spans="2:7" s="1" customFormat="1">
      <c r="B882" s="33"/>
      <c r="E882" s="27"/>
      <c r="F882" s="37"/>
      <c r="G882" s="33"/>
    </row>
    <row r="883" spans="2:7" s="1" customFormat="1">
      <c r="B883" s="33"/>
      <c r="E883" s="27"/>
      <c r="F883" s="37"/>
      <c r="G883" s="33"/>
    </row>
    <row r="884" spans="2:7" s="1" customFormat="1">
      <c r="B884" s="33"/>
      <c r="E884" s="27"/>
      <c r="F884" s="37"/>
      <c r="G884" s="33"/>
    </row>
    <row r="885" spans="2:7" s="1" customFormat="1">
      <c r="B885" s="33"/>
      <c r="E885" s="27"/>
      <c r="F885" s="37"/>
      <c r="G885" s="33"/>
    </row>
    <row r="886" spans="2:7" s="1" customFormat="1">
      <c r="B886" s="33"/>
      <c r="E886" s="27"/>
      <c r="F886" s="37"/>
      <c r="G886" s="33"/>
    </row>
    <row r="887" spans="2:7" s="1" customFormat="1">
      <c r="B887" s="33"/>
      <c r="E887" s="27"/>
      <c r="F887" s="37"/>
      <c r="G887" s="33"/>
    </row>
    <row r="888" spans="2:7" s="1" customFormat="1">
      <c r="B888" s="33"/>
      <c r="E888" s="27"/>
      <c r="F888" s="37"/>
      <c r="G888" s="33"/>
    </row>
    <row r="889" spans="2:7" s="1" customFormat="1">
      <c r="B889" s="33"/>
      <c r="E889" s="27"/>
      <c r="F889" s="37"/>
      <c r="G889" s="33"/>
    </row>
    <row r="890" spans="2:7" s="1" customFormat="1">
      <c r="B890" s="33"/>
      <c r="E890" s="27"/>
      <c r="F890" s="37"/>
      <c r="G890" s="33"/>
    </row>
    <row r="891" spans="2:7" s="1" customFormat="1">
      <c r="B891" s="33"/>
      <c r="E891" s="27"/>
      <c r="F891" s="37"/>
      <c r="G891" s="33"/>
    </row>
    <row r="892" spans="2:7" s="1" customFormat="1">
      <c r="B892" s="33"/>
      <c r="E892" s="27"/>
      <c r="F892" s="37"/>
      <c r="G892" s="33"/>
    </row>
    <row r="893" spans="2:7" s="1" customFormat="1">
      <c r="B893" s="33"/>
      <c r="E893" s="27"/>
      <c r="F893" s="37"/>
      <c r="G893" s="33"/>
    </row>
    <row r="894" spans="2:7" s="1" customFormat="1">
      <c r="B894" s="33"/>
      <c r="E894" s="27"/>
      <c r="F894" s="37"/>
      <c r="G894" s="33"/>
    </row>
    <row r="895" spans="2:7" s="1" customFormat="1">
      <c r="B895" s="33"/>
      <c r="E895" s="27"/>
      <c r="F895" s="37"/>
      <c r="G895" s="33"/>
    </row>
    <row r="896" spans="2:7" s="1" customFormat="1">
      <c r="B896" s="33"/>
      <c r="E896" s="27"/>
      <c r="F896" s="37"/>
      <c r="G896" s="33"/>
    </row>
    <row r="897" spans="2:7" s="1" customFormat="1">
      <c r="B897" s="33"/>
      <c r="E897" s="27"/>
      <c r="F897" s="37"/>
      <c r="G897" s="33"/>
    </row>
    <row r="898" spans="2:7" s="1" customFormat="1">
      <c r="B898" s="33"/>
      <c r="E898" s="27"/>
      <c r="F898" s="37"/>
      <c r="G898" s="33"/>
    </row>
    <row r="899" spans="2:7" s="1" customFormat="1">
      <c r="B899" s="33"/>
      <c r="E899" s="27"/>
      <c r="F899" s="37"/>
      <c r="G899" s="33"/>
    </row>
    <row r="900" spans="2:7" s="1" customFormat="1">
      <c r="B900" s="33"/>
      <c r="E900" s="27"/>
      <c r="F900" s="37"/>
      <c r="G900" s="33"/>
    </row>
    <row r="901" spans="2:7" s="1" customFormat="1">
      <c r="B901" s="33"/>
      <c r="E901" s="27"/>
      <c r="F901" s="37"/>
      <c r="G901" s="33"/>
    </row>
    <row r="902" spans="2:7" s="1" customFormat="1">
      <c r="B902" s="33"/>
      <c r="E902" s="27"/>
      <c r="F902" s="37"/>
      <c r="G902" s="33"/>
    </row>
    <row r="903" spans="2:7" s="1" customFormat="1">
      <c r="B903" s="33"/>
      <c r="E903" s="27"/>
      <c r="F903" s="37"/>
      <c r="G903" s="33"/>
    </row>
    <row r="904" spans="2:7" s="1" customFormat="1">
      <c r="B904" s="33"/>
      <c r="E904" s="27"/>
      <c r="F904" s="37"/>
      <c r="G904" s="33"/>
    </row>
    <row r="905" spans="2:7" s="1" customFormat="1">
      <c r="B905" s="33"/>
      <c r="E905" s="27"/>
      <c r="F905" s="37"/>
      <c r="G905" s="33"/>
    </row>
    <row r="906" spans="2:7" s="1" customFormat="1">
      <c r="B906" s="33"/>
      <c r="E906" s="27"/>
      <c r="F906" s="37"/>
      <c r="G906" s="33"/>
    </row>
    <row r="907" spans="2:7" s="1" customFormat="1">
      <c r="B907" s="33"/>
      <c r="E907" s="27"/>
      <c r="F907" s="37"/>
      <c r="G907" s="33"/>
    </row>
    <row r="908" spans="2:7" s="1" customFormat="1">
      <c r="B908" s="33"/>
      <c r="E908" s="27"/>
      <c r="F908" s="37"/>
      <c r="G908" s="33"/>
    </row>
    <row r="909" spans="2:7" s="1" customFormat="1">
      <c r="B909" s="33"/>
      <c r="E909" s="27"/>
      <c r="F909" s="37"/>
      <c r="G909" s="33"/>
    </row>
    <row r="910" spans="2:7" s="1" customFormat="1">
      <c r="B910" s="33"/>
      <c r="E910" s="27"/>
      <c r="F910" s="37"/>
      <c r="G910" s="33"/>
    </row>
    <row r="911" spans="2:7" s="1" customFormat="1">
      <c r="B911" s="33"/>
      <c r="E911" s="27"/>
      <c r="F911" s="37"/>
      <c r="G911" s="33"/>
    </row>
    <row r="912" spans="2:7" s="1" customFormat="1">
      <c r="B912" s="33"/>
      <c r="E912" s="27"/>
      <c r="F912" s="37"/>
      <c r="G912" s="33"/>
    </row>
    <row r="913" spans="2:7" s="1" customFormat="1">
      <c r="B913" s="33"/>
      <c r="E913" s="27"/>
      <c r="F913" s="37"/>
      <c r="G913" s="33"/>
    </row>
    <row r="914" spans="2:7" s="1" customFormat="1">
      <c r="B914" s="33"/>
      <c r="E914" s="27"/>
      <c r="F914" s="37"/>
      <c r="G914" s="33"/>
    </row>
    <row r="915" spans="2:7" s="1" customFormat="1">
      <c r="B915" s="33"/>
      <c r="E915" s="27"/>
      <c r="F915" s="37"/>
      <c r="G915" s="33"/>
    </row>
    <row r="916" spans="2:7" s="1" customFormat="1">
      <c r="B916" s="33"/>
      <c r="E916" s="27"/>
      <c r="F916" s="37"/>
      <c r="G916" s="33"/>
    </row>
    <row r="917" spans="2:7" s="1" customFormat="1">
      <c r="B917" s="33"/>
      <c r="E917" s="27"/>
      <c r="F917" s="37"/>
      <c r="G917" s="33"/>
    </row>
    <row r="918" spans="2:7" s="1" customFormat="1">
      <c r="B918" s="33"/>
      <c r="E918" s="27"/>
      <c r="F918" s="37"/>
      <c r="G918" s="33"/>
    </row>
    <row r="919" spans="2:7" s="1" customFormat="1">
      <c r="B919" s="33"/>
      <c r="E919" s="27"/>
      <c r="F919" s="37"/>
      <c r="G919" s="33"/>
    </row>
    <row r="920" spans="2:7" s="1" customFormat="1">
      <c r="B920" s="33"/>
      <c r="E920" s="27"/>
      <c r="F920" s="37"/>
      <c r="G920" s="33"/>
    </row>
    <row r="921" spans="2:7" s="1" customFormat="1">
      <c r="B921" s="33"/>
      <c r="E921" s="27"/>
      <c r="F921" s="37"/>
      <c r="G921" s="33"/>
    </row>
    <row r="922" spans="2:7" s="1" customFormat="1">
      <c r="B922" s="33"/>
      <c r="E922" s="27"/>
      <c r="F922" s="37"/>
      <c r="G922" s="33"/>
    </row>
    <row r="923" spans="2:7" s="1" customFormat="1">
      <c r="B923" s="33"/>
      <c r="E923" s="27"/>
      <c r="F923" s="37"/>
      <c r="G923" s="33"/>
    </row>
    <row r="924" spans="2:7" s="1" customFormat="1">
      <c r="B924" s="33"/>
      <c r="E924" s="27"/>
      <c r="F924" s="37"/>
      <c r="G924" s="33"/>
    </row>
    <row r="925" spans="2:7" s="1" customFormat="1">
      <c r="B925" s="33"/>
      <c r="E925" s="27"/>
      <c r="F925" s="37"/>
      <c r="G925" s="33"/>
    </row>
    <row r="926" spans="2:7" s="1" customFormat="1">
      <c r="B926" s="33"/>
      <c r="E926" s="27"/>
      <c r="F926" s="37"/>
      <c r="G926" s="33"/>
    </row>
    <row r="927" spans="2:7" s="1" customFormat="1">
      <c r="B927" s="33"/>
      <c r="E927" s="27"/>
      <c r="F927" s="37"/>
      <c r="G927" s="33"/>
    </row>
    <row r="928" spans="2:7" s="1" customFormat="1">
      <c r="B928" s="33"/>
      <c r="E928" s="27"/>
      <c r="F928" s="37"/>
      <c r="G928" s="33"/>
    </row>
    <row r="929" spans="2:7" s="1" customFormat="1">
      <c r="B929" s="33"/>
      <c r="E929" s="27"/>
      <c r="F929" s="37"/>
      <c r="G929" s="33"/>
    </row>
    <row r="930" spans="2:7" s="1" customFormat="1">
      <c r="B930" s="33"/>
      <c r="E930" s="27"/>
      <c r="F930" s="37"/>
      <c r="G930" s="33"/>
    </row>
    <row r="931" spans="2:7" s="1" customFormat="1">
      <c r="B931" s="33"/>
      <c r="E931" s="27"/>
      <c r="F931" s="37"/>
      <c r="G931" s="33"/>
    </row>
    <row r="932" spans="2:7" s="1" customFormat="1">
      <c r="B932" s="33"/>
      <c r="E932" s="27"/>
      <c r="F932" s="37"/>
      <c r="G932" s="33"/>
    </row>
    <row r="933" spans="2:7" s="1" customFormat="1">
      <c r="B933" s="33"/>
      <c r="E933" s="27"/>
      <c r="F933" s="37"/>
      <c r="G933" s="33"/>
    </row>
    <row r="934" spans="2:7" s="1" customFormat="1">
      <c r="B934" s="33"/>
      <c r="E934" s="27"/>
      <c r="F934" s="37"/>
      <c r="G934" s="33"/>
    </row>
    <row r="935" spans="2:7" s="1" customFormat="1">
      <c r="B935" s="33"/>
      <c r="E935" s="27"/>
      <c r="F935" s="37"/>
      <c r="G935" s="33"/>
    </row>
    <row r="936" spans="2:7" s="1" customFormat="1">
      <c r="B936" s="33"/>
      <c r="E936" s="27"/>
      <c r="F936" s="37"/>
      <c r="G936" s="33"/>
    </row>
    <row r="937" spans="2:7" s="1" customFormat="1">
      <c r="B937" s="33"/>
      <c r="E937" s="27"/>
      <c r="F937" s="37"/>
      <c r="G937" s="33"/>
    </row>
    <row r="938" spans="2:7" s="1" customFormat="1">
      <c r="B938" s="33"/>
      <c r="E938" s="27"/>
      <c r="F938" s="37"/>
      <c r="G938" s="33"/>
    </row>
    <row r="939" spans="2:7" s="1" customFormat="1">
      <c r="B939" s="33"/>
      <c r="E939" s="27"/>
      <c r="F939" s="37"/>
      <c r="G939" s="33"/>
    </row>
    <row r="940" spans="2:7" s="1" customFormat="1">
      <c r="B940" s="33"/>
      <c r="E940" s="27"/>
      <c r="F940" s="37"/>
      <c r="G940" s="33"/>
    </row>
    <row r="941" spans="2:7" s="1" customFormat="1">
      <c r="B941" s="33"/>
      <c r="E941" s="27"/>
      <c r="F941" s="37"/>
      <c r="G941" s="33"/>
    </row>
    <row r="942" spans="2:7" s="1" customFormat="1">
      <c r="B942" s="33"/>
      <c r="E942" s="27"/>
      <c r="F942" s="37"/>
      <c r="G942" s="33"/>
    </row>
    <row r="943" spans="2:7" s="1" customFormat="1">
      <c r="B943" s="33"/>
      <c r="E943" s="27"/>
      <c r="F943" s="37"/>
      <c r="G943" s="33"/>
    </row>
    <row r="944" spans="2:7" s="1" customFormat="1">
      <c r="B944" s="33"/>
      <c r="E944" s="27"/>
      <c r="F944" s="37"/>
      <c r="G944" s="33"/>
    </row>
    <row r="945" spans="2:7" s="1" customFormat="1">
      <c r="B945" s="33"/>
      <c r="E945" s="27"/>
      <c r="F945" s="37"/>
      <c r="G945" s="33"/>
    </row>
    <row r="946" spans="2:7" s="1" customFormat="1">
      <c r="B946" s="33"/>
      <c r="E946" s="27"/>
      <c r="F946" s="37"/>
      <c r="G946" s="33"/>
    </row>
    <row r="947" spans="2:7" s="1" customFormat="1">
      <c r="B947" s="33"/>
      <c r="E947" s="27"/>
      <c r="F947" s="37"/>
      <c r="G947" s="33"/>
    </row>
    <row r="948" spans="2:7" s="1" customFormat="1">
      <c r="B948" s="33"/>
      <c r="E948" s="27"/>
      <c r="F948" s="37"/>
      <c r="G948" s="33"/>
    </row>
    <row r="949" spans="2:7" s="1" customFormat="1">
      <c r="B949" s="33"/>
      <c r="E949" s="27"/>
      <c r="F949" s="37"/>
      <c r="G949" s="33"/>
    </row>
    <row r="950" spans="2:7" s="1" customFormat="1">
      <c r="B950" s="33"/>
      <c r="E950" s="27"/>
      <c r="F950" s="37"/>
      <c r="G950" s="33"/>
    </row>
    <row r="951" spans="2:7" s="1" customFormat="1">
      <c r="B951" s="33"/>
      <c r="E951" s="27"/>
      <c r="F951" s="37"/>
      <c r="G951" s="33"/>
    </row>
    <row r="952" spans="2:7" s="1" customFormat="1">
      <c r="B952" s="33"/>
      <c r="E952" s="27"/>
      <c r="F952" s="37"/>
      <c r="G952" s="33"/>
    </row>
    <row r="953" spans="2:7" s="1" customFormat="1">
      <c r="B953" s="33"/>
      <c r="E953" s="27"/>
      <c r="F953" s="37"/>
      <c r="G953" s="33"/>
    </row>
    <row r="954" spans="2:7" s="1" customFormat="1">
      <c r="B954" s="33"/>
      <c r="E954" s="27"/>
      <c r="F954" s="37"/>
      <c r="G954" s="33"/>
    </row>
    <row r="955" spans="2:7" s="1" customFormat="1">
      <c r="B955" s="33"/>
      <c r="E955" s="27"/>
      <c r="F955" s="37"/>
      <c r="G955" s="33"/>
    </row>
    <row r="956" spans="2:7" s="1" customFormat="1">
      <c r="B956" s="33"/>
      <c r="E956" s="27"/>
      <c r="F956" s="37"/>
      <c r="G956" s="33"/>
    </row>
    <row r="957" spans="2:7" s="1" customFormat="1">
      <c r="B957" s="33"/>
      <c r="E957" s="27"/>
      <c r="F957" s="37"/>
      <c r="G957" s="33"/>
    </row>
    <row r="958" spans="2:7" s="1" customFormat="1">
      <c r="B958" s="33"/>
      <c r="E958" s="27"/>
      <c r="F958" s="37"/>
      <c r="G958" s="33"/>
    </row>
    <row r="959" spans="2:7" s="1" customFormat="1">
      <c r="B959" s="33"/>
      <c r="E959" s="27"/>
      <c r="F959" s="37"/>
      <c r="G959" s="33"/>
    </row>
    <row r="960" spans="2:7" s="1" customFormat="1">
      <c r="B960" s="33"/>
      <c r="E960" s="27"/>
      <c r="F960" s="37"/>
      <c r="G960" s="33"/>
    </row>
    <row r="961" spans="2:7" s="1" customFormat="1">
      <c r="B961" s="33"/>
      <c r="E961" s="27"/>
      <c r="F961" s="37"/>
      <c r="G961" s="33"/>
    </row>
    <row r="962" spans="2:7" s="1" customFormat="1">
      <c r="B962" s="33"/>
      <c r="E962" s="27"/>
      <c r="F962" s="37"/>
      <c r="G962" s="33"/>
    </row>
    <row r="963" spans="2:7" s="1" customFormat="1">
      <c r="B963" s="33"/>
      <c r="E963" s="27"/>
      <c r="F963" s="37"/>
      <c r="G963" s="33"/>
    </row>
    <row r="964" spans="2:7" s="1" customFormat="1">
      <c r="B964" s="33"/>
      <c r="E964" s="27"/>
      <c r="F964" s="37"/>
      <c r="G964" s="33"/>
    </row>
    <row r="965" spans="2:7" s="1" customFormat="1">
      <c r="B965" s="33"/>
      <c r="E965" s="27"/>
      <c r="F965" s="37"/>
      <c r="G965" s="33"/>
    </row>
    <row r="966" spans="2:7" s="1" customFormat="1">
      <c r="B966" s="33"/>
      <c r="E966" s="27"/>
      <c r="F966" s="37"/>
      <c r="G966" s="33"/>
    </row>
    <row r="967" spans="2:7" s="1" customFormat="1">
      <c r="B967" s="33"/>
      <c r="E967" s="27"/>
      <c r="F967" s="37"/>
      <c r="G967" s="33"/>
    </row>
    <row r="968" spans="2:7" s="1" customFormat="1">
      <c r="B968" s="33"/>
      <c r="E968" s="27"/>
      <c r="F968" s="37"/>
      <c r="G968" s="33"/>
    </row>
    <row r="969" spans="2:7" s="1" customFormat="1">
      <c r="B969" s="33"/>
      <c r="E969" s="27"/>
      <c r="F969" s="37"/>
      <c r="G969" s="33"/>
    </row>
    <row r="970" spans="2:7" s="1" customFormat="1">
      <c r="B970" s="33"/>
      <c r="E970" s="27"/>
      <c r="F970" s="37"/>
      <c r="G970" s="33"/>
    </row>
    <row r="971" spans="2:7" s="1" customFormat="1">
      <c r="B971" s="33"/>
      <c r="E971" s="27"/>
      <c r="F971" s="37"/>
      <c r="G971" s="33"/>
    </row>
    <row r="972" spans="2:7" s="1" customFormat="1">
      <c r="B972" s="33"/>
      <c r="E972" s="27"/>
      <c r="F972" s="37"/>
      <c r="G972" s="33"/>
    </row>
    <row r="973" spans="2:7" s="1" customFormat="1">
      <c r="B973" s="33"/>
      <c r="E973" s="27"/>
      <c r="F973" s="37"/>
      <c r="G973" s="33"/>
    </row>
    <row r="974" spans="2:7" s="1" customFormat="1">
      <c r="B974" s="33"/>
      <c r="E974" s="27"/>
      <c r="F974" s="37"/>
      <c r="G974" s="33"/>
    </row>
    <row r="975" spans="2:7" s="1" customFormat="1">
      <c r="B975" s="33"/>
      <c r="E975" s="27"/>
      <c r="F975" s="37"/>
      <c r="G975" s="33"/>
    </row>
    <row r="976" spans="2:7" s="1" customFormat="1">
      <c r="B976" s="33"/>
      <c r="E976" s="27"/>
      <c r="F976" s="37"/>
      <c r="G976" s="33"/>
    </row>
    <row r="977" spans="2:7" s="1" customFormat="1">
      <c r="B977" s="33"/>
      <c r="E977" s="27"/>
      <c r="F977" s="37"/>
      <c r="G977" s="33"/>
    </row>
    <row r="978" spans="2:7" s="1" customFormat="1">
      <c r="B978" s="33"/>
      <c r="E978" s="27"/>
      <c r="F978" s="37"/>
      <c r="G978" s="33"/>
    </row>
    <row r="979" spans="2:7" s="1" customFormat="1">
      <c r="B979" s="33"/>
      <c r="E979" s="27"/>
      <c r="F979" s="37"/>
      <c r="G979" s="33"/>
    </row>
    <row r="980" spans="2:7" s="1" customFormat="1">
      <c r="B980" s="33"/>
      <c r="E980" s="27"/>
      <c r="F980" s="37"/>
      <c r="G980" s="33"/>
    </row>
    <row r="981" spans="2:7" s="1" customFormat="1">
      <c r="B981" s="33"/>
      <c r="E981" s="27"/>
      <c r="F981" s="37"/>
      <c r="G981" s="33"/>
    </row>
    <row r="982" spans="2:7" s="1" customFormat="1">
      <c r="B982" s="33"/>
      <c r="E982" s="27"/>
      <c r="F982" s="37"/>
      <c r="G982" s="33"/>
    </row>
    <row r="983" spans="2:7" s="1" customFormat="1">
      <c r="B983" s="33"/>
      <c r="E983" s="27"/>
      <c r="F983" s="37"/>
      <c r="G983" s="33"/>
    </row>
    <row r="984" spans="2:7" s="1" customFormat="1">
      <c r="B984" s="33"/>
      <c r="E984" s="27"/>
      <c r="F984" s="37"/>
      <c r="G984" s="33"/>
    </row>
    <row r="985" spans="2:7" s="1" customFormat="1">
      <c r="B985" s="33"/>
      <c r="E985" s="27"/>
      <c r="F985" s="37"/>
      <c r="G985" s="33"/>
    </row>
    <row r="986" spans="2:7" s="1" customFormat="1">
      <c r="B986" s="33"/>
      <c r="E986" s="27"/>
      <c r="F986" s="37"/>
      <c r="G986" s="33"/>
    </row>
    <row r="987" spans="2:7" s="1" customFormat="1">
      <c r="B987" s="33"/>
      <c r="E987" s="27"/>
      <c r="F987" s="37"/>
      <c r="G987" s="33"/>
    </row>
    <row r="988" spans="2:7" s="1" customFormat="1">
      <c r="B988" s="33"/>
      <c r="E988" s="27"/>
      <c r="F988" s="37"/>
      <c r="G988" s="33"/>
    </row>
    <row r="989" spans="2:7" s="1" customFormat="1">
      <c r="B989" s="33"/>
      <c r="E989" s="27"/>
      <c r="F989" s="37"/>
      <c r="G989" s="33"/>
    </row>
    <row r="990" spans="2:7" s="1" customFormat="1">
      <c r="B990" s="33"/>
      <c r="E990" s="27"/>
      <c r="F990" s="37"/>
      <c r="G990" s="33"/>
    </row>
    <row r="991" spans="2:7" s="1" customFormat="1">
      <c r="B991" s="33"/>
      <c r="E991" s="27"/>
      <c r="F991" s="37"/>
      <c r="G991" s="33"/>
    </row>
    <row r="992" spans="2:7" s="1" customFormat="1">
      <c r="B992" s="33"/>
      <c r="E992" s="27"/>
      <c r="F992" s="37"/>
      <c r="G992" s="33"/>
    </row>
    <row r="993" spans="2:7" s="1" customFormat="1">
      <c r="B993" s="33"/>
      <c r="E993" s="27"/>
      <c r="F993" s="37"/>
      <c r="G993" s="33"/>
    </row>
    <row r="994" spans="2:7" s="1" customFormat="1">
      <c r="B994" s="33"/>
      <c r="E994" s="27"/>
      <c r="F994" s="37"/>
      <c r="G994" s="33"/>
    </row>
    <row r="995" spans="2:7" s="1" customFormat="1">
      <c r="B995" s="33"/>
      <c r="E995" s="27"/>
      <c r="F995" s="37"/>
      <c r="G995" s="33"/>
    </row>
    <row r="996" spans="2:7" s="1" customFormat="1">
      <c r="B996" s="33"/>
      <c r="E996" s="27"/>
      <c r="F996" s="37"/>
      <c r="G996" s="33"/>
    </row>
    <row r="997" spans="2:7" s="1" customFormat="1">
      <c r="B997" s="33"/>
      <c r="E997" s="27"/>
      <c r="F997" s="37"/>
      <c r="G997" s="33"/>
    </row>
    <row r="998" spans="2:7" s="1" customFormat="1">
      <c r="B998" s="33"/>
      <c r="E998" s="27"/>
      <c r="F998" s="37"/>
      <c r="G998" s="33"/>
    </row>
    <row r="999" spans="2:7" s="1" customFormat="1">
      <c r="B999" s="33"/>
      <c r="E999" s="27"/>
      <c r="F999" s="37"/>
      <c r="G999" s="33"/>
    </row>
    <row r="1000" spans="2:7" s="1" customFormat="1">
      <c r="B1000" s="33"/>
      <c r="E1000" s="27"/>
      <c r="F1000" s="37"/>
      <c r="G1000" s="33"/>
    </row>
    <row r="1001" spans="2:7" s="1" customFormat="1">
      <c r="B1001" s="33"/>
      <c r="E1001" s="27"/>
      <c r="F1001" s="37"/>
      <c r="G1001" s="33"/>
    </row>
    <row r="1002" spans="2:7" s="1" customFormat="1">
      <c r="B1002" s="33"/>
      <c r="E1002" s="27"/>
      <c r="F1002" s="37"/>
      <c r="G1002" s="33"/>
    </row>
    <row r="1003" spans="2:7" s="1" customFormat="1">
      <c r="B1003" s="33"/>
      <c r="E1003" s="27"/>
      <c r="F1003" s="37"/>
      <c r="G1003" s="33"/>
    </row>
    <row r="1004" spans="2:7" s="1" customFormat="1">
      <c r="B1004" s="33"/>
      <c r="E1004" s="27"/>
      <c r="F1004" s="37"/>
      <c r="G1004" s="33"/>
    </row>
    <row r="1005" spans="2:7" s="1" customFormat="1">
      <c r="B1005" s="33"/>
      <c r="E1005" s="27"/>
      <c r="F1005" s="37"/>
      <c r="G1005" s="33"/>
    </row>
    <row r="1006" spans="2:7" s="1" customFormat="1">
      <c r="B1006" s="33"/>
      <c r="E1006" s="27"/>
      <c r="F1006" s="37"/>
      <c r="G1006" s="33"/>
    </row>
    <row r="1007" spans="2:7" s="1" customFormat="1">
      <c r="B1007" s="33"/>
      <c r="E1007" s="27"/>
      <c r="F1007" s="37"/>
      <c r="G1007" s="33"/>
    </row>
    <row r="1008" spans="2:7" s="1" customFormat="1">
      <c r="B1008" s="33"/>
      <c r="E1008" s="27"/>
      <c r="F1008" s="37"/>
      <c r="G1008" s="33"/>
    </row>
    <row r="1009" spans="2:7" s="1" customFormat="1">
      <c r="B1009" s="33"/>
      <c r="E1009" s="27"/>
      <c r="F1009" s="37"/>
      <c r="G1009" s="33"/>
    </row>
    <row r="1010" spans="2:7" s="1" customFormat="1">
      <c r="B1010" s="33"/>
      <c r="E1010" s="27"/>
      <c r="F1010" s="37"/>
      <c r="G1010" s="33"/>
    </row>
    <row r="1011" spans="2:7" s="1" customFormat="1">
      <c r="B1011" s="33"/>
      <c r="E1011" s="27"/>
      <c r="F1011" s="37"/>
      <c r="G1011" s="33"/>
    </row>
    <row r="1012" spans="2:7" s="1" customFormat="1">
      <c r="B1012" s="33"/>
      <c r="E1012" s="27"/>
      <c r="F1012" s="37"/>
      <c r="G1012" s="33"/>
    </row>
    <row r="1013" spans="2:7" s="1" customFormat="1">
      <c r="B1013" s="33"/>
      <c r="E1013" s="27"/>
      <c r="F1013" s="37"/>
      <c r="G1013" s="33"/>
    </row>
    <row r="1014" spans="2:7" s="1" customFormat="1">
      <c r="B1014" s="33"/>
      <c r="E1014" s="27"/>
      <c r="F1014" s="37"/>
      <c r="G1014" s="33"/>
    </row>
    <row r="1015" spans="2:7" s="1" customFormat="1">
      <c r="B1015" s="33"/>
      <c r="E1015" s="27"/>
      <c r="F1015" s="37"/>
      <c r="G1015" s="33"/>
    </row>
    <row r="1016" spans="2:7" s="1" customFormat="1">
      <c r="B1016" s="33"/>
      <c r="E1016" s="27"/>
      <c r="F1016" s="37"/>
      <c r="G1016" s="33"/>
    </row>
    <row r="1017" spans="2:7" s="1" customFormat="1">
      <c r="B1017" s="33"/>
      <c r="E1017" s="27"/>
      <c r="F1017" s="37"/>
      <c r="G1017" s="33"/>
    </row>
    <row r="1018" spans="2:7" s="1" customFormat="1">
      <c r="B1018" s="33"/>
      <c r="E1018" s="27"/>
      <c r="F1018" s="37"/>
      <c r="G1018" s="33"/>
    </row>
    <row r="1019" spans="2:7" s="1" customFormat="1">
      <c r="B1019" s="33"/>
      <c r="E1019" s="27"/>
      <c r="F1019" s="37"/>
      <c r="G1019" s="33"/>
    </row>
    <row r="1020" spans="2:7" s="1" customFormat="1">
      <c r="B1020" s="33"/>
      <c r="E1020" s="27"/>
      <c r="F1020" s="37"/>
      <c r="G1020" s="33"/>
    </row>
    <row r="1021" spans="2:7" s="1" customFormat="1">
      <c r="B1021" s="33"/>
      <c r="E1021" s="27"/>
      <c r="F1021" s="37"/>
      <c r="G1021" s="33"/>
    </row>
    <row r="1022" spans="2:7" s="1" customFormat="1">
      <c r="B1022" s="33"/>
      <c r="E1022" s="27"/>
      <c r="F1022" s="37"/>
      <c r="G1022" s="33"/>
    </row>
    <row r="1023" spans="2:7" s="1" customFormat="1">
      <c r="B1023" s="33"/>
      <c r="E1023" s="27"/>
      <c r="F1023" s="37"/>
      <c r="G1023" s="33"/>
    </row>
    <row r="1024" spans="2:7" s="1" customFormat="1">
      <c r="B1024" s="33"/>
      <c r="E1024" s="27"/>
      <c r="F1024" s="37"/>
      <c r="G1024" s="33"/>
    </row>
    <row r="1025" spans="2:7" s="1" customFormat="1">
      <c r="B1025" s="33"/>
      <c r="E1025" s="27"/>
      <c r="F1025" s="37"/>
      <c r="G1025" s="33"/>
    </row>
    <row r="1026" spans="2:7" s="1" customFormat="1">
      <c r="B1026" s="33"/>
      <c r="E1026" s="27"/>
      <c r="F1026" s="37"/>
      <c r="G1026" s="33"/>
    </row>
    <row r="1027" spans="2:7" s="1" customFormat="1">
      <c r="B1027" s="33"/>
      <c r="E1027" s="27"/>
      <c r="F1027" s="37"/>
      <c r="G1027" s="33"/>
    </row>
    <row r="1028" spans="2:7" s="1" customFormat="1">
      <c r="B1028" s="33"/>
      <c r="E1028" s="27"/>
      <c r="F1028" s="37"/>
      <c r="G1028" s="33"/>
    </row>
    <row r="1029" spans="2:7" s="1" customFormat="1">
      <c r="B1029" s="33"/>
      <c r="E1029" s="27"/>
      <c r="F1029" s="37"/>
      <c r="G1029" s="33"/>
    </row>
    <row r="1030" spans="2:7" s="1" customFormat="1">
      <c r="B1030" s="33"/>
      <c r="E1030" s="27"/>
      <c r="F1030" s="37"/>
      <c r="G1030" s="33"/>
    </row>
    <row r="1031" spans="2:7" s="1" customFormat="1">
      <c r="B1031" s="33"/>
      <c r="E1031" s="27"/>
      <c r="F1031" s="37"/>
      <c r="G1031" s="33"/>
    </row>
    <row r="1032" spans="2:7" s="1" customFormat="1">
      <c r="B1032" s="33"/>
      <c r="E1032" s="27"/>
      <c r="F1032" s="37"/>
      <c r="G1032" s="33"/>
    </row>
    <row r="1033" spans="2:7" s="1" customFormat="1">
      <c r="B1033" s="33"/>
      <c r="E1033" s="27"/>
      <c r="F1033" s="37"/>
      <c r="G1033" s="33"/>
    </row>
    <row r="1034" spans="2:7" s="1" customFormat="1">
      <c r="B1034" s="33"/>
      <c r="E1034" s="27"/>
      <c r="F1034" s="37"/>
      <c r="G1034" s="33"/>
    </row>
    <row r="1035" spans="2:7" s="1" customFormat="1">
      <c r="B1035" s="33"/>
      <c r="E1035" s="27"/>
      <c r="F1035" s="37"/>
      <c r="G1035" s="33"/>
    </row>
    <row r="1036" spans="2:7" s="1" customFormat="1">
      <c r="B1036" s="33"/>
      <c r="E1036" s="27"/>
      <c r="F1036" s="37"/>
      <c r="G1036" s="33"/>
    </row>
    <row r="1037" spans="2:7" s="1" customFormat="1">
      <c r="B1037" s="33"/>
      <c r="E1037" s="27"/>
      <c r="F1037" s="37"/>
      <c r="G1037" s="33"/>
    </row>
    <row r="1038" spans="2:7" s="1" customFormat="1">
      <c r="B1038" s="33"/>
      <c r="E1038" s="27"/>
      <c r="F1038" s="37"/>
      <c r="G1038" s="33"/>
    </row>
    <row r="1039" spans="2:7" s="1" customFormat="1">
      <c r="B1039" s="33"/>
      <c r="E1039" s="27"/>
      <c r="F1039" s="37"/>
      <c r="G1039" s="33"/>
    </row>
    <row r="1040" spans="2:7" s="1" customFormat="1">
      <c r="B1040" s="33"/>
      <c r="E1040" s="27"/>
      <c r="F1040" s="37"/>
      <c r="G1040" s="33"/>
    </row>
    <row r="1041" spans="2:7" s="1" customFormat="1">
      <c r="B1041" s="33"/>
      <c r="E1041" s="27"/>
      <c r="F1041" s="37"/>
      <c r="G1041" s="33"/>
    </row>
    <row r="1042" spans="2:7" s="1" customFormat="1">
      <c r="B1042" s="33"/>
      <c r="E1042" s="27"/>
      <c r="F1042" s="37"/>
      <c r="G1042" s="33"/>
    </row>
    <row r="1043" spans="2:7" s="1" customFormat="1">
      <c r="B1043" s="33"/>
      <c r="E1043" s="27"/>
      <c r="F1043" s="37"/>
      <c r="G1043" s="33"/>
    </row>
    <row r="1044" spans="2:7" s="1" customFormat="1">
      <c r="B1044" s="33"/>
      <c r="E1044" s="27"/>
      <c r="F1044" s="37"/>
      <c r="G1044" s="33"/>
    </row>
    <row r="1045" spans="2:7" s="1" customFormat="1">
      <c r="B1045" s="33"/>
      <c r="E1045" s="27"/>
      <c r="F1045" s="37"/>
      <c r="G1045" s="33"/>
    </row>
    <row r="1046" spans="2:7" s="1" customFormat="1">
      <c r="B1046" s="33"/>
      <c r="E1046" s="27"/>
      <c r="F1046" s="37"/>
      <c r="G1046" s="33"/>
    </row>
    <row r="1047" spans="2:7" s="1" customFormat="1">
      <c r="B1047" s="33"/>
      <c r="E1047" s="27"/>
      <c r="F1047" s="37"/>
      <c r="G1047" s="33"/>
    </row>
    <row r="1048" spans="2:7" s="1" customFormat="1">
      <c r="B1048" s="33"/>
      <c r="E1048" s="27"/>
      <c r="F1048" s="37"/>
      <c r="G1048" s="33"/>
    </row>
    <row r="1049" spans="2:7" s="1" customFormat="1">
      <c r="B1049" s="33"/>
      <c r="E1049" s="27"/>
      <c r="F1049" s="37"/>
      <c r="G1049" s="33"/>
    </row>
    <row r="1050" spans="2:7" s="1" customFormat="1">
      <c r="B1050" s="33"/>
      <c r="E1050" s="27"/>
      <c r="F1050" s="37"/>
      <c r="G1050" s="33"/>
    </row>
    <row r="1051" spans="2:7" s="1" customFormat="1">
      <c r="B1051" s="33"/>
      <c r="E1051" s="27"/>
      <c r="F1051" s="37"/>
      <c r="G1051" s="33"/>
    </row>
    <row r="1052" spans="2:7" s="1" customFormat="1">
      <c r="B1052" s="33"/>
      <c r="E1052" s="27"/>
      <c r="F1052" s="37"/>
      <c r="G1052" s="33"/>
    </row>
    <row r="1053" spans="2:7" s="1" customFormat="1">
      <c r="B1053" s="33"/>
      <c r="E1053" s="27"/>
      <c r="F1053" s="37"/>
      <c r="G1053" s="33"/>
    </row>
    <row r="1054" spans="2:7" s="1" customFormat="1">
      <c r="B1054" s="33"/>
      <c r="E1054" s="27"/>
      <c r="F1054" s="37"/>
      <c r="G1054" s="33"/>
    </row>
    <row r="1055" spans="2:7" s="1" customFormat="1">
      <c r="B1055" s="33"/>
      <c r="E1055" s="27"/>
      <c r="F1055" s="37"/>
      <c r="G1055" s="33"/>
    </row>
    <row r="1056" spans="2:7" s="1" customFormat="1">
      <c r="B1056" s="33"/>
      <c r="E1056" s="27"/>
      <c r="F1056" s="37"/>
      <c r="G1056" s="33"/>
    </row>
    <row r="1057" spans="2:7" s="1" customFormat="1">
      <c r="B1057" s="33"/>
      <c r="E1057" s="27"/>
      <c r="F1057" s="37"/>
      <c r="G1057" s="33"/>
    </row>
    <row r="1058" spans="2:7" s="1" customFormat="1">
      <c r="B1058" s="33"/>
      <c r="E1058" s="27"/>
      <c r="F1058" s="37"/>
      <c r="G1058" s="33"/>
    </row>
    <row r="1059" spans="2:7" s="1" customFormat="1">
      <c r="B1059" s="33"/>
      <c r="E1059" s="27"/>
      <c r="F1059" s="37"/>
      <c r="G1059" s="33"/>
    </row>
    <row r="1060" spans="2:7" s="1" customFormat="1">
      <c r="B1060" s="33"/>
      <c r="E1060" s="27"/>
      <c r="F1060" s="37"/>
      <c r="G1060" s="33"/>
    </row>
    <row r="1061" spans="2:7" s="1" customFormat="1">
      <c r="B1061" s="33"/>
      <c r="E1061" s="27"/>
      <c r="F1061" s="37"/>
      <c r="G1061" s="33"/>
    </row>
    <row r="1062" spans="2:7" s="1" customFormat="1">
      <c r="B1062" s="33"/>
      <c r="E1062" s="27"/>
      <c r="F1062" s="37"/>
      <c r="G1062" s="33"/>
    </row>
    <row r="1063" spans="2:7" s="1" customFormat="1">
      <c r="B1063" s="33"/>
      <c r="E1063" s="27"/>
      <c r="F1063" s="37"/>
      <c r="G1063" s="33"/>
    </row>
    <row r="1064" spans="2:7" s="1" customFormat="1">
      <c r="B1064" s="33"/>
      <c r="E1064" s="27"/>
      <c r="F1064" s="37"/>
      <c r="G1064" s="33"/>
    </row>
    <row r="1065" spans="2:7" s="1" customFormat="1">
      <c r="B1065" s="33"/>
      <c r="E1065" s="27"/>
      <c r="F1065" s="37"/>
      <c r="G1065" s="33"/>
    </row>
    <row r="1066" spans="2:7" s="1" customFormat="1">
      <c r="B1066" s="33"/>
      <c r="E1066" s="27"/>
      <c r="F1066" s="37"/>
      <c r="G1066" s="33"/>
    </row>
    <row r="1067" spans="2:7" s="1" customFormat="1">
      <c r="B1067" s="33"/>
      <c r="E1067" s="27"/>
      <c r="F1067" s="37"/>
      <c r="G1067" s="33"/>
    </row>
    <row r="1068" spans="2:7" s="1" customFormat="1">
      <c r="B1068" s="33"/>
      <c r="E1068" s="27"/>
      <c r="F1068" s="37"/>
      <c r="G1068" s="33"/>
    </row>
    <row r="1069" spans="2:7" s="1" customFormat="1">
      <c r="B1069" s="33"/>
      <c r="E1069" s="27"/>
      <c r="F1069" s="37"/>
      <c r="G1069" s="33"/>
    </row>
    <row r="1070" spans="2:7" s="1" customFormat="1">
      <c r="B1070" s="33"/>
      <c r="E1070" s="27"/>
      <c r="F1070" s="37"/>
      <c r="G1070" s="33"/>
    </row>
    <row r="1071" spans="2:7" s="1" customFormat="1">
      <c r="B1071" s="33"/>
      <c r="E1071" s="27"/>
      <c r="F1071" s="37"/>
      <c r="G1071" s="33"/>
    </row>
    <row r="1072" spans="2:7" s="1" customFormat="1">
      <c r="B1072" s="33"/>
      <c r="E1072" s="27"/>
      <c r="F1072" s="37"/>
      <c r="G1072" s="33"/>
    </row>
    <row r="1073" spans="2:7" s="1" customFormat="1">
      <c r="B1073" s="33"/>
      <c r="E1073" s="27"/>
      <c r="F1073" s="37"/>
      <c r="G1073" s="33"/>
    </row>
    <row r="1074" spans="2:7" s="1" customFormat="1">
      <c r="B1074" s="33"/>
      <c r="E1074" s="27"/>
      <c r="F1074" s="37"/>
      <c r="G1074" s="33"/>
    </row>
    <row r="1075" spans="2:7" s="1" customFormat="1">
      <c r="B1075" s="33"/>
      <c r="E1075" s="27"/>
      <c r="F1075" s="37"/>
      <c r="G1075" s="33"/>
    </row>
    <row r="1076" spans="2:7" s="1" customFormat="1">
      <c r="B1076" s="33"/>
      <c r="E1076" s="27"/>
      <c r="F1076" s="37"/>
      <c r="G1076" s="33"/>
    </row>
    <row r="1077" spans="2:7" s="1" customFormat="1">
      <c r="B1077" s="33"/>
      <c r="E1077" s="27"/>
      <c r="F1077" s="37"/>
      <c r="G1077" s="33"/>
    </row>
    <row r="1078" spans="2:7" s="1" customFormat="1">
      <c r="B1078" s="33"/>
      <c r="E1078" s="27"/>
      <c r="F1078" s="37"/>
      <c r="G1078" s="33"/>
    </row>
    <row r="1079" spans="2:7" s="1" customFormat="1">
      <c r="B1079" s="33"/>
      <c r="E1079" s="27"/>
      <c r="F1079" s="37"/>
      <c r="G1079" s="33"/>
    </row>
    <row r="1080" spans="2:7" s="1" customFormat="1">
      <c r="B1080" s="33"/>
      <c r="E1080" s="27"/>
      <c r="F1080" s="37"/>
      <c r="G1080" s="33"/>
    </row>
    <row r="1081" spans="2:7" s="1" customFormat="1">
      <c r="B1081" s="33"/>
      <c r="E1081" s="27"/>
      <c r="F1081" s="37"/>
      <c r="G1081" s="33"/>
    </row>
    <row r="1082" spans="2:7" s="1" customFormat="1">
      <c r="B1082" s="33"/>
      <c r="E1082" s="27"/>
      <c r="F1082" s="37"/>
      <c r="G1082" s="33"/>
    </row>
    <row r="1083" spans="2:7" s="1" customFormat="1">
      <c r="B1083" s="33"/>
      <c r="E1083" s="27"/>
      <c r="F1083" s="37"/>
      <c r="G1083" s="33"/>
    </row>
    <row r="1084" spans="2:7" s="1" customFormat="1">
      <c r="B1084" s="33"/>
      <c r="E1084" s="27"/>
      <c r="F1084" s="37"/>
      <c r="G1084" s="33"/>
    </row>
    <row r="1085" spans="2:7" s="1" customFormat="1">
      <c r="B1085" s="33"/>
      <c r="E1085" s="27"/>
      <c r="F1085" s="37"/>
      <c r="G1085" s="33"/>
    </row>
    <row r="1086" spans="2:7" s="1" customFormat="1">
      <c r="B1086" s="33"/>
      <c r="E1086" s="27"/>
      <c r="F1086" s="37"/>
      <c r="G1086" s="33"/>
    </row>
    <row r="1087" spans="2:7" s="1" customFormat="1">
      <c r="B1087" s="33"/>
      <c r="E1087" s="27"/>
      <c r="F1087" s="37"/>
      <c r="G1087" s="33"/>
    </row>
    <row r="1088" spans="2:7" s="1" customFormat="1">
      <c r="B1088" s="33"/>
      <c r="E1088" s="27"/>
      <c r="F1088" s="37"/>
      <c r="G1088" s="33"/>
    </row>
    <row r="1089" spans="2:7" s="1" customFormat="1">
      <c r="B1089" s="33"/>
      <c r="E1089" s="27"/>
      <c r="F1089" s="37"/>
      <c r="G1089" s="33"/>
    </row>
    <row r="1090" spans="2:7" s="1" customFormat="1">
      <c r="B1090" s="33"/>
      <c r="E1090" s="27"/>
      <c r="F1090" s="37"/>
      <c r="G1090" s="33"/>
    </row>
    <row r="1091" spans="2:7" s="1" customFormat="1">
      <c r="B1091" s="33"/>
      <c r="E1091" s="27"/>
      <c r="F1091" s="37"/>
      <c r="G1091" s="33"/>
    </row>
    <row r="1092" spans="2:7" s="1" customFormat="1">
      <c r="B1092" s="33"/>
      <c r="E1092" s="27"/>
      <c r="F1092" s="37"/>
      <c r="G1092" s="33"/>
    </row>
    <row r="1093" spans="2:7" s="1" customFormat="1">
      <c r="B1093" s="33"/>
      <c r="E1093" s="27"/>
      <c r="F1093" s="37"/>
      <c r="G1093" s="33"/>
    </row>
    <row r="1094" spans="2:7" s="1" customFormat="1">
      <c r="B1094" s="33"/>
      <c r="E1094" s="27"/>
      <c r="F1094" s="37"/>
      <c r="G1094" s="33"/>
    </row>
    <row r="1095" spans="2:7" s="1" customFormat="1">
      <c r="B1095" s="33"/>
      <c r="E1095" s="27"/>
      <c r="F1095" s="37"/>
      <c r="G1095" s="33"/>
    </row>
    <row r="1096" spans="2:7" s="1" customFormat="1">
      <c r="B1096" s="33"/>
      <c r="E1096" s="27"/>
      <c r="F1096" s="37"/>
      <c r="G1096" s="33"/>
    </row>
    <row r="1097" spans="2:7" s="1" customFormat="1">
      <c r="B1097" s="33"/>
      <c r="E1097" s="27"/>
      <c r="F1097" s="37"/>
      <c r="G1097" s="33"/>
    </row>
    <row r="1098" spans="2:7" s="1" customFormat="1">
      <c r="B1098" s="33"/>
      <c r="E1098" s="27"/>
      <c r="F1098" s="37"/>
      <c r="G1098" s="33"/>
    </row>
    <row r="1099" spans="2:7" s="1" customFormat="1">
      <c r="B1099" s="33"/>
      <c r="E1099" s="27"/>
      <c r="F1099" s="37"/>
      <c r="G1099" s="33"/>
    </row>
    <row r="1100" spans="2:7" s="1" customFormat="1">
      <c r="B1100" s="33"/>
      <c r="E1100" s="27"/>
      <c r="F1100" s="37"/>
      <c r="G1100" s="33"/>
    </row>
    <row r="1101" spans="2:7" s="1" customFormat="1">
      <c r="B1101" s="33"/>
      <c r="E1101" s="27"/>
      <c r="F1101" s="37"/>
      <c r="G1101" s="33"/>
    </row>
    <row r="1102" spans="2:7" s="1" customFormat="1">
      <c r="B1102" s="33"/>
      <c r="E1102" s="27"/>
      <c r="F1102" s="37"/>
      <c r="G1102" s="33"/>
    </row>
    <row r="1103" spans="2:7" s="1" customFormat="1">
      <c r="B1103" s="33"/>
      <c r="E1103" s="27"/>
      <c r="F1103" s="37"/>
      <c r="G1103" s="33"/>
    </row>
    <row r="1104" spans="2:7" s="1" customFormat="1">
      <c r="B1104" s="33"/>
      <c r="E1104" s="27"/>
      <c r="F1104" s="37"/>
      <c r="G1104" s="33"/>
    </row>
    <row r="1105" spans="2:7" s="1" customFormat="1">
      <c r="B1105" s="33"/>
      <c r="E1105" s="27"/>
      <c r="F1105" s="37"/>
      <c r="G1105" s="33"/>
    </row>
    <row r="1106" spans="2:7" s="1" customFormat="1">
      <c r="B1106" s="33"/>
      <c r="E1106" s="27"/>
      <c r="F1106" s="37"/>
      <c r="G1106" s="33"/>
    </row>
    <row r="1107" spans="2:7" s="1" customFormat="1">
      <c r="B1107" s="33"/>
      <c r="E1107" s="27"/>
      <c r="F1107" s="37"/>
      <c r="G1107" s="33"/>
    </row>
    <row r="1108" spans="2:7" s="1" customFormat="1">
      <c r="B1108" s="33"/>
      <c r="E1108" s="27"/>
      <c r="F1108" s="37"/>
      <c r="G1108" s="33"/>
    </row>
    <row r="1109" spans="2:7" s="1" customFormat="1">
      <c r="B1109" s="33"/>
      <c r="E1109" s="27"/>
      <c r="F1109" s="37"/>
      <c r="G1109" s="33"/>
    </row>
    <row r="1110" spans="2:7" s="1" customFormat="1">
      <c r="B1110" s="33"/>
      <c r="E1110" s="27"/>
      <c r="F1110" s="37"/>
      <c r="G1110" s="33"/>
    </row>
    <row r="1111" spans="2:7" s="1" customFormat="1">
      <c r="B1111" s="33"/>
      <c r="E1111" s="27"/>
      <c r="F1111" s="37"/>
      <c r="G1111" s="33"/>
    </row>
    <row r="1112" spans="2:7" s="1" customFormat="1">
      <c r="B1112" s="33"/>
      <c r="E1112" s="27"/>
      <c r="F1112" s="37"/>
      <c r="G1112" s="33"/>
    </row>
    <row r="1113" spans="2:7" s="1" customFormat="1">
      <c r="B1113" s="33"/>
      <c r="E1113" s="27"/>
      <c r="F1113" s="37"/>
      <c r="G1113" s="33"/>
    </row>
    <row r="1114" spans="2:7" s="1" customFormat="1">
      <c r="B1114" s="33"/>
      <c r="E1114" s="27"/>
      <c r="F1114" s="37"/>
      <c r="G1114" s="33"/>
    </row>
    <row r="1115" spans="2:7" s="1" customFormat="1">
      <c r="B1115" s="33"/>
      <c r="E1115" s="27"/>
      <c r="F1115" s="37"/>
      <c r="G1115" s="33"/>
    </row>
    <row r="1116" spans="2:7" s="1" customFormat="1">
      <c r="B1116" s="33"/>
      <c r="E1116" s="27"/>
      <c r="F1116" s="37"/>
      <c r="G1116" s="33"/>
    </row>
    <row r="1117" spans="2:7" s="1" customFormat="1">
      <c r="B1117" s="33"/>
      <c r="E1117" s="27"/>
      <c r="F1117" s="37"/>
      <c r="G1117" s="33"/>
    </row>
    <row r="1118" spans="2:7" s="1" customFormat="1">
      <c r="B1118" s="33"/>
      <c r="E1118" s="27"/>
      <c r="F1118" s="37"/>
      <c r="G1118" s="33"/>
    </row>
    <row r="1119" spans="2:7" s="1" customFormat="1">
      <c r="B1119" s="33"/>
      <c r="E1119" s="27"/>
      <c r="F1119" s="37"/>
      <c r="G1119" s="33"/>
    </row>
    <row r="1120" spans="2:7" s="1" customFormat="1">
      <c r="B1120" s="33"/>
      <c r="E1120" s="27"/>
      <c r="F1120" s="37"/>
      <c r="G1120" s="33"/>
    </row>
    <row r="1121" spans="2:7" s="1" customFormat="1">
      <c r="B1121" s="33"/>
      <c r="E1121" s="27"/>
      <c r="F1121" s="37"/>
      <c r="G1121" s="33"/>
    </row>
    <row r="1122" spans="2:7" s="1" customFormat="1">
      <c r="B1122" s="33"/>
      <c r="E1122" s="27"/>
      <c r="F1122" s="37"/>
      <c r="G1122" s="33"/>
    </row>
    <row r="1123" spans="2:7" s="1" customFormat="1">
      <c r="B1123" s="33"/>
      <c r="E1123" s="27"/>
      <c r="F1123" s="37"/>
      <c r="G1123" s="33"/>
    </row>
    <row r="1124" spans="2:7" s="1" customFormat="1">
      <c r="B1124" s="33"/>
      <c r="E1124" s="27"/>
      <c r="F1124" s="37"/>
      <c r="G1124" s="33"/>
    </row>
    <row r="1125" spans="2:7" s="1" customFormat="1">
      <c r="B1125" s="33"/>
      <c r="E1125" s="27"/>
      <c r="F1125" s="37"/>
      <c r="G1125" s="33"/>
    </row>
    <row r="1126" spans="2:7" s="1" customFormat="1">
      <c r="B1126" s="33"/>
      <c r="E1126" s="27"/>
      <c r="F1126" s="37"/>
      <c r="G1126" s="33"/>
    </row>
    <row r="1127" spans="2:7" s="1" customFormat="1">
      <c r="B1127" s="33"/>
      <c r="E1127" s="27"/>
      <c r="F1127" s="37"/>
      <c r="G1127" s="33"/>
    </row>
    <row r="1128" spans="2:7" s="1" customFormat="1">
      <c r="B1128" s="33"/>
      <c r="E1128" s="27"/>
      <c r="F1128" s="37"/>
      <c r="G1128" s="33"/>
    </row>
    <row r="1129" spans="2:7" s="1" customFormat="1">
      <c r="B1129" s="33"/>
      <c r="E1129" s="27"/>
      <c r="F1129" s="37"/>
      <c r="G1129" s="33"/>
    </row>
    <row r="1130" spans="2:7" s="1" customFormat="1">
      <c r="B1130" s="33"/>
      <c r="E1130" s="27"/>
      <c r="F1130" s="37"/>
      <c r="G1130" s="33"/>
    </row>
    <row r="1131" spans="2:7" s="1" customFormat="1">
      <c r="B1131" s="33"/>
      <c r="E1131" s="27"/>
      <c r="F1131" s="37"/>
      <c r="G1131" s="33"/>
    </row>
    <row r="1132" spans="2:7" s="1" customFormat="1">
      <c r="B1132" s="36"/>
      <c r="E1132" s="32"/>
      <c r="F1132" s="31"/>
      <c r="G1132" s="36"/>
    </row>
    <row r="1133" spans="2:7" s="1" customFormat="1">
      <c r="B1133" s="36"/>
      <c r="E1133" s="32"/>
      <c r="F1133" s="31"/>
      <c r="G1133" s="36"/>
    </row>
    <row r="1134" spans="2:7" s="1" customFormat="1">
      <c r="B1134" s="36"/>
      <c r="E1134" s="32"/>
      <c r="F1134" s="31"/>
      <c r="G1134" s="36"/>
    </row>
    <row r="1135" spans="2:7" s="1" customFormat="1">
      <c r="B1135" s="36"/>
      <c r="E1135" s="32"/>
      <c r="F1135" s="31"/>
      <c r="G1135" s="36"/>
    </row>
    <row r="1136" spans="2:7" s="1" customFormat="1">
      <c r="B1136" s="36"/>
      <c r="E1136" s="32"/>
      <c r="F1136" s="31"/>
      <c r="G1136" s="36"/>
    </row>
    <row r="1137" spans="2:7" s="1" customFormat="1">
      <c r="B1137" s="36"/>
      <c r="E1137" s="32"/>
      <c r="F1137" s="31"/>
      <c r="G1137" s="36"/>
    </row>
    <row r="1138" spans="2:7" s="1" customFormat="1">
      <c r="B1138" s="36"/>
      <c r="E1138" s="32"/>
      <c r="F1138" s="31"/>
      <c r="G1138" s="36"/>
    </row>
    <row r="1139" spans="2:7" s="1" customFormat="1">
      <c r="B1139" s="36"/>
      <c r="E1139" s="32"/>
      <c r="F1139" s="31"/>
      <c r="G1139" s="36"/>
    </row>
    <row r="1140" spans="2:7" s="1" customFormat="1">
      <c r="B1140" s="36"/>
      <c r="E1140" s="32"/>
      <c r="F1140" s="31"/>
      <c r="G1140" s="36"/>
    </row>
    <row r="1141" spans="2:7" s="1" customFormat="1">
      <c r="B1141" s="36"/>
      <c r="E1141" s="32"/>
      <c r="F1141" s="31"/>
      <c r="G1141" s="36"/>
    </row>
    <row r="1142" spans="2:7" s="1" customFormat="1">
      <c r="B1142" s="36"/>
      <c r="E1142" s="32"/>
      <c r="F1142" s="31"/>
      <c r="G1142" s="36"/>
    </row>
    <row r="1143" spans="2:7" s="1" customFormat="1">
      <c r="B1143" s="36"/>
      <c r="E1143" s="32"/>
      <c r="F1143" s="31"/>
      <c r="G1143" s="36"/>
    </row>
    <row r="1144" spans="2:7" s="1" customFormat="1">
      <c r="B1144" s="36"/>
      <c r="E1144" s="32"/>
      <c r="F1144" s="31"/>
      <c r="G1144" s="36"/>
    </row>
    <row r="1145" spans="2:7" s="1" customFormat="1">
      <c r="B1145" s="36"/>
      <c r="E1145" s="32"/>
      <c r="F1145" s="31"/>
      <c r="G1145" s="36"/>
    </row>
    <row r="1146" spans="2:7" s="1" customFormat="1">
      <c r="B1146" s="36"/>
      <c r="E1146" s="32"/>
      <c r="F1146" s="31"/>
      <c r="G1146" s="36"/>
    </row>
    <row r="1147" spans="2:7" s="1" customFormat="1">
      <c r="B1147" s="36"/>
      <c r="E1147" s="32"/>
      <c r="F1147" s="31"/>
      <c r="G1147" s="36"/>
    </row>
    <row r="1148" spans="2:7" s="1" customFormat="1">
      <c r="B1148" s="36"/>
      <c r="E1148" s="32"/>
      <c r="F1148" s="31"/>
      <c r="G1148" s="36"/>
    </row>
    <row r="1149" spans="2:7" s="1" customFormat="1">
      <c r="B1149" s="36"/>
      <c r="E1149" s="32"/>
      <c r="F1149" s="31"/>
      <c r="G1149" s="36"/>
    </row>
    <row r="1150" spans="2:7" s="1" customFormat="1">
      <c r="B1150" s="36"/>
      <c r="E1150" s="32"/>
      <c r="F1150" s="31"/>
      <c r="G1150" s="36"/>
    </row>
    <row r="1151" spans="2:7" s="1" customFormat="1">
      <c r="B1151" s="36"/>
      <c r="E1151" s="32"/>
      <c r="F1151" s="31"/>
      <c r="G1151" s="36"/>
    </row>
    <row r="1152" spans="2:7" s="1" customFormat="1">
      <c r="B1152" s="36"/>
      <c r="E1152" s="32"/>
      <c r="F1152" s="31"/>
      <c r="G1152" s="36"/>
    </row>
    <row r="1153" spans="2:7" s="1" customFormat="1">
      <c r="B1153" s="36"/>
      <c r="E1153" s="32"/>
      <c r="F1153" s="31"/>
      <c r="G1153" s="36"/>
    </row>
    <row r="1154" spans="2:7" s="1" customFormat="1">
      <c r="B1154" s="36"/>
      <c r="E1154" s="32"/>
      <c r="F1154" s="31"/>
      <c r="G1154" s="36"/>
    </row>
    <row r="1155" spans="2:7" s="1" customFormat="1">
      <c r="B1155" s="36"/>
      <c r="E1155" s="32"/>
      <c r="F1155" s="31"/>
      <c r="G1155" s="36"/>
    </row>
    <row r="1156" spans="2:7" s="1" customFormat="1">
      <c r="B1156" s="36"/>
      <c r="E1156" s="32"/>
      <c r="F1156" s="31"/>
      <c r="G1156" s="36"/>
    </row>
    <row r="1157" spans="2:7" s="1" customFormat="1">
      <c r="B1157" s="36"/>
      <c r="E1157" s="32"/>
      <c r="F1157" s="31"/>
      <c r="G1157" s="36"/>
    </row>
    <row r="1158" spans="2:7" s="1" customFormat="1">
      <c r="B1158" s="36"/>
      <c r="E1158" s="32"/>
      <c r="F1158" s="31"/>
      <c r="G1158" s="36"/>
    </row>
    <row r="1159" spans="2:7" s="1" customFormat="1">
      <c r="B1159" s="36"/>
      <c r="E1159" s="32"/>
      <c r="F1159" s="31"/>
      <c r="G1159" s="36"/>
    </row>
    <row r="1160" spans="2:7" s="1" customFormat="1">
      <c r="B1160" s="36"/>
      <c r="E1160" s="32"/>
      <c r="F1160" s="31"/>
      <c r="G1160" s="36"/>
    </row>
    <row r="1161" spans="2:7" s="1" customFormat="1">
      <c r="B1161" s="36"/>
      <c r="E1161" s="32"/>
      <c r="F1161" s="31"/>
      <c r="G1161" s="36"/>
    </row>
    <row r="1162" spans="2:7" s="1" customFormat="1">
      <c r="B1162" s="36"/>
      <c r="E1162" s="32"/>
      <c r="F1162" s="31"/>
      <c r="G1162" s="36"/>
    </row>
    <row r="1163" spans="2:7" s="1" customFormat="1">
      <c r="B1163" s="36"/>
      <c r="E1163" s="32"/>
      <c r="F1163" s="31"/>
      <c r="G1163" s="36"/>
    </row>
    <row r="1164" spans="2:7" s="1" customFormat="1">
      <c r="B1164" s="36"/>
      <c r="E1164" s="32"/>
      <c r="F1164" s="31"/>
      <c r="G1164" s="36"/>
    </row>
    <row r="1165" spans="2:7" s="1" customFormat="1">
      <c r="B1165" s="36"/>
      <c r="E1165" s="32"/>
      <c r="F1165" s="31"/>
      <c r="G1165" s="36"/>
    </row>
    <row r="1166" spans="2:7" s="1" customFormat="1">
      <c r="B1166" s="36"/>
      <c r="E1166" s="32"/>
      <c r="F1166" s="31"/>
      <c r="G1166" s="36"/>
    </row>
    <row r="1167" spans="2:7" s="1" customFormat="1">
      <c r="B1167" s="36"/>
      <c r="E1167" s="32"/>
      <c r="F1167" s="31"/>
      <c r="G1167" s="36"/>
    </row>
    <row r="1168" spans="2:7" s="1" customFormat="1">
      <c r="B1168" s="36"/>
      <c r="E1168" s="32"/>
      <c r="F1168" s="31"/>
      <c r="G1168" s="36"/>
    </row>
    <row r="1169" spans="2:7" s="1" customFormat="1">
      <c r="B1169" s="36"/>
      <c r="E1169" s="32"/>
      <c r="F1169" s="31"/>
      <c r="G1169" s="36"/>
    </row>
    <row r="1170" spans="2:7" s="1" customFormat="1">
      <c r="B1170" s="36"/>
      <c r="E1170" s="32"/>
      <c r="F1170" s="31"/>
      <c r="G1170" s="36"/>
    </row>
    <row r="1171" spans="2:7" s="1" customFormat="1">
      <c r="B1171" s="36"/>
      <c r="E1171" s="32"/>
      <c r="F1171" s="31"/>
      <c r="G1171" s="36"/>
    </row>
    <row r="1172" spans="2:7" s="1" customFormat="1">
      <c r="B1172" s="36"/>
      <c r="E1172" s="32"/>
      <c r="F1172" s="31"/>
      <c r="G1172" s="36"/>
    </row>
    <row r="1173" spans="2:7" s="1" customFormat="1">
      <c r="B1173" s="36"/>
      <c r="E1173" s="32"/>
      <c r="F1173" s="31"/>
      <c r="G1173" s="36"/>
    </row>
    <row r="1174" spans="2:7" s="1" customFormat="1">
      <c r="B1174" s="36"/>
      <c r="E1174" s="32"/>
      <c r="F1174" s="31"/>
      <c r="G1174" s="36"/>
    </row>
    <row r="1175" spans="2:7" s="1" customFormat="1">
      <c r="B1175" s="36"/>
      <c r="E1175" s="32"/>
      <c r="F1175" s="31"/>
      <c r="G1175" s="36"/>
    </row>
    <row r="1176" spans="2:7" s="1" customFormat="1">
      <c r="B1176" s="36"/>
      <c r="E1176" s="32"/>
      <c r="F1176" s="31"/>
      <c r="G1176" s="36"/>
    </row>
    <row r="1177" spans="2:7" s="1" customFormat="1">
      <c r="B1177" s="36"/>
      <c r="E1177" s="32"/>
      <c r="F1177" s="31"/>
      <c r="G1177" s="36"/>
    </row>
    <row r="1178" spans="2:7" s="1" customFormat="1">
      <c r="B1178" s="36"/>
      <c r="E1178" s="32"/>
      <c r="F1178" s="31"/>
      <c r="G1178" s="36"/>
    </row>
  </sheetData>
  <mergeCells count="34">
    <mergeCell ref="N292:P304"/>
    <mergeCell ref="G331:G334"/>
    <mergeCell ref="F342:F343"/>
    <mergeCell ref="B2:G2"/>
    <mergeCell ref="I288:K296"/>
    <mergeCell ref="E151:F151"/>
    <mergeCell ref="E203:F203"/>
    <mergeCell ref="F318:F319"/>
    <mergeCell ref="E299:F299"/>
    <mergeCell ref="E149:F149"/>
    <mergeCell ref="B10:G10"/>
    <mergeCell ref="B22:G22"/>
    <mergeCell ref="E152:F152"/>
    <mergeCell ref="B9:G9"/>
    <mergeCell ref="B4:G4"/>
    <mergeCell ref="B17:G17"/>
    <mergeCell ref="D5:D6"/>
    <mergeCell ref="B148:C148"/>
    <mergeCell ref="C41:G41"/>
    <mergeCell ref="D269:E269"/>
    <mergeCell ref="E145:F145"/>
    <mergeCell ref="C49:G49"/>
    <mergeCell ref="E5:G6"/>
    <mergeCell ref="B5:C6"/>
    <mergeCell ref="B31:G31"/>
    <mergeCell ref="B36:G36"/>
    <mergeCell ref="B44:G44"/>
    <mergeCell ref="B8:G8"/>
    <mergeCell ref="G346:G348"/>
    <mergeCell ref="B56:E56"/>
    <mergeCell ref="G336:G343"/>
    <mergeCell ref="E274:F274"/>
    <mergeCell ref="E206:F206"/>
    <mergeCell ref="D294:E294"/>
  </mergeCells>
  <conditionalFormatting sqref="C157">
    <cfRule type="containsText" dxfId="38" priority="78" operator="containsText" text="OK">
      <formula>NOT(ISERROR(SEARCH("OK",C157)))</formula>
    </cfRule>
  </conditionalFormatting>
  <conditionalFormatting sqref="C157 G47:G48">
    <cfRule type="containsText" dxfId="37" priority="77" operator="containsText" text="changer">
      <formula>NOT(ISERROR(SEARCH("changer",C47)))</formula>
    </cfRule>
  </conditionalFormatting>
  <conditionalFormatting sqref="C170:C171">
    <cfRule type="containsText" dxfId="36" priority="75" operator="containsText" text="changer">
      <formula>NOT(ISERROR(SEARCH("changer",C170)))</formula>
    </cfRule>
    <cfRule type="containsText" dxfId="35" priority="76" operator="containsText" text="OK">
      <formula>NOT(ISERROR(SEARCH("OK",C170)))</formula>
    </cfRule>
  </conditionalFormatting>
  <conditionalFormatting sqref="C276 C302:C303 E277:E278">
    <cfRule type="containsText" dxfId="34" priority="73" operator="containsText" text="Non">
      <formula>NOT(ISERROR(SEARCH("Non",C276)))</formula>
    </cfRule>
    <cfRule type="containsText" dxfId="33" priority="74" operator="containsText" text="OK">
      <formula>NOT(ISERROR(SEARCH("OK",C276)))</formula>
    </cfRule>
  </conditionalFormatting>
  <conditionalFormatting sqref="D269:D270">
    <cfRule type="containsText" dxfId="32" priority="65" operator="containsText" text="ACCIDE">
      <formula>NOT(ISERROR(SEARCH("ACCIDE",D269)))</formula>
    </cfRule>
    <cfRule type="containsText" dxfId="31" priority="66" operator="containsText" text="SISMIQUE">
      <formula>NOT(ISERROR(SEARCH("SISMIQUE",D269)))</formula>
    </cfRule>
    <cfRule type="containsText" dxfId="30" priority="67" operator="containsText" text="ELU">
      <formula>NOT(ISERROR(SEARCH("ELU",D269)))</formula>
    </cfRule>
    <cfRule type="cellIs" dxfId="29" priority="68" operator="equal">
      <formula>"ELU"</formula>
    </cfRule>
  </conditionalFormatting>
  <conditionalFormatting sqref="C301">
    <cfRule type="containsText" dxfId="28" priority="63" operator="containsText" text="Non">
      <formula>NOT(ISERROR(SEARCH("Non",C301)))</formula>
    </cfRule>
    <cfRule type="containsText" dxfId="27" priority="64" operator="containsText" text="OK">
      <formula>NOT(ISERROR(SEARCH("OK",C301)))</formula>
    </cfRule>
  </conditionalFormatting>
  <conditionalFormatting sqref="D294">
    <cfRule type="containsText" dxfId="26" priority="59" operator="containsText" text="ACCIDE">
      <formula>NOT(ISERROR(SEARCH("ACCIDE",D294)))</formula>
    </cfRule>
    <cfRule type="containsText" dxfId="25" priority="60" operator="containsText" text="SISMIQUE">
      <formula>NOT(ISERROR(SEARCH("SISMIQUE",D294)))</formula>
    </cfRule>
    <cfRule type="containsText" dxfId="24" priority="61" operator="containsText" text="ELU">
      <formula>NOT(ISERROR(SEARCH("ELU",D294)))</formula>
    </cfRule>
    <cfRule type="cellIs" dxfId="23" priority="62" operator="equal">
      <formula>"ELU"</formula>
    </cfRule>
  </conditionalFormatting>
  <conditionalFormatting sqref="C308:C313">
    <cfRule type="containsText" dxfId="22" priority="57" operator="containsText" text="Non">
      <formula>NOT(ISERROR(SEARCH("Non",C308)))</formula>
    </cfRule>
    <cfRule type="containsText" dxfId="21" priority="58" operator="containsText" text="OK">
      <formula>NOT(ISERROR(SEARCH("OK",C308)))</formula>
    </cfRule>
  </conditionalFormatting>
  <conditionalFormatting sqref="D327">
    <cfRule type="containsText" dxfId="20" priority="51" operator="containsText" text="Non">
      <formula>NOT(ISERROR(SEARCH("Non",D327)))</formula>
    </cfRule>
    <cfRule type="containsText" dxfId="19" priority="52" operator="containsText" text="OK">
      <formula>NOT(ISERROR(SEARCH("OK",D327)))</formula>
    </cfRule>
  </conditionalFormatting>
  <conditionalFormatting sqref="C212">
    <cfRule type="containsText" dxfId="18" priority="41" operator="containsText" text="changer">
      <formula>NOT(ISERROR(SEARCH("changer",C212)))</formula>
    </cfRule>
    <cfRule type="containsText" dxfId="17" priority="42" operator="containsText" text="OK">
      <formula>NOT(ISERROR(SEARCH("OK",C212)))</formula>
    </cfRule>
  </conditionalFormatting>
  <conditionalFormatting sqref="D226:D228">
    <cfRule type="containsText" dxfId="16" priority="39" operator="containsText" text="Non">
      <formula>NOT(ISERROR(SEARCH("Non",D226)))</formula>
    </cfRule>
    <cfRule type="containsText" dxfId="15" priority="40" operator="containsText" text="OK">
      <formula>NOT(ISERROR(SEARCH("OK",D226)))</formula>
    </cfRule>
  </conditionalFormatting>
  <conditionalFormatting sqref="D242:D244">
    <cfRule type="containsText" dxfId="14" priority="37" operator="containsText" text="Non">
      <formula>NOT(ISERROR(SEARCH("Non",D242)))</formula>
    </cfRule>
    <cfRule type="containsText" dxfId="13" priority="38" operator="containsText" text="OK">
      <formula>NOT(ISERROR(SEARCH("OK",D242)))</formula>
    </cfRule>
  </conditionalFormatting>
  <conditionalFormatting sqref="D295">
    <cfRule type="containsText" dxfId="12" priority="25" operator="containsText" text="ACCIDE">
      <formula>NOT(ISERROR(SEARCH("ACCIDE",D295)))</formula>
    </cfRule>
    <cfRule type="containsText" dxfId="11" priority="26" operator="containsText" text="SISMIQUE">
      <formula>NOT(ISERROR(SEARCH("SISMIQUE",D295)))</formula>
    </cfRule>
    <cfRule type="containsText" dxfId="10" priority="27" operator="containsText" text="ELU">
      <formula>NOT(ISERROR(SEARCH("ELU",D295)))</formula>
    </cfRule>
    <cfRule type="cellIs" dxfId="9" priority="28" operator="equal">
      <formula>"ELU"</formula>
    </cfRule>
  </conditionalFormatting>
  <conditionalFormatting sqref="C333:C337">
    <cfRule type="containsText" dxfId="8" priority="23" operator="containsText" text="Non">
      <formula>NOT(ISERROR(SEARCH("Non",C333)))</formula>
    </cfRule>
    <cfRule type="containsText" dxfId="7" priority="24" operator="containsText" text="OK">
      <formula>NOT(ISERROR(SEARCH("OK",C333)))</formula>
    </cfRule>
  </conditionalFormatting>
  <conditionalFormatting sqref="D351">
    <cfRule type="containsText" dxfId="6" priority="21" operator="containsText" text="Non">
      <formula>NOT(ISERROR(SEARCH("Non",D351)))</formula>
    </cfRule>
    <cfRule type="containsText" dxfId="5" priority="22" operator="containsText" text="OK">
      <formula>NOT(ISERROR(SEARCH("OK",D351)))</formula>
    </cfRule>
  </conditionalFormatting>
  <conditionalFormatting sqref="F47:G48">
    <cfRule type="containsText" dxfId="4" priority="1" operator="containsText" text="Pieu ">
      <formula>NOT(ISERROR(SEARCH("Pieu ",F47)))</formula>
    </cfRule>
    <cfRule type="containsText" dxfId="3" priority="3" operator="containsText" text="OK">
      <formula>NOT(ISERROR(SEARCH("OK",F47)))</formula>
    </cfRule>
  </conditionalFormatting>
  <conditionalFormatting sqref="F47:F48">
    <cfRule type="containsText" dxfId="2" priority="2" operator="containsText" text="changer">
      <formula>NOT(ISERROR(SEARCH("changer",F47)))</formula>
    </cfRule>
  </conditionalFormatting>
  <dataValidations disablePrompts="1" count="2">
    <dataValidation type="list" allowBlank="1" showInputMessage="1" showErrorMessage="1" sqref="C150 C165 C204" xr:uid="{00000000-0002-0000-0100-000000000000}">
      <formula1>"8,10,12,14,16,20,25,32"</formula1>
    </dataValidation>
    <dataValidation type="list" allowBlank="1" showInputMessage="1" showErrorMessage="1" sqref="F143 F197" xr:uid="{00000000-0002-0000-0100-000001000000}">
      <formula1>"Pieu - 1,Pieu - 2"</formula1>
    </dataValidation>
  </dataValidations>
  <pageMargins left="0.70866141732283472" right="0.70866141732283472" top="0.74803149606299213" bottom="0.74803149606299213" header="0.31496062992125978" footer="0.31496062992125978"/>
  <pageSetup paperSize="9" scale="10" fitToWidth="2" pageOrder="overThenDown" orientation="landscape"/>
  <drawing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theme="6" tint="0.39997558519241921"/>
  </sheetPr>
  <dimension ref="B1:AB913"/>
  <sheetViews>
    <sheetView topLeftCell="B3" zoomScale="55" zoomScaleNormal="55" workbookViewId="0">
      <selection activeCell="F43" sqref="F43"/>
    </sheetView>
  </sheetViews>
  <sheetFormatPr baseColWidth="10" defaultRowHeight="14.4"/>
  <cols>
    <col min="2" max="2" width="27.6640625" customWidth="1"/>
    <col min="3" max="3" width="15.33203125" customWidth="1"/>
    <col min="4" max="4" width="14.88671875" customWidth="1"/>
    <col min="5" max="6" width="18.33203125" customWidth="1"/>
    <col min="7" max="7" width="21.109375" customWidth="1"/>
    <col min="8" max="8" width="14.6640625" customWidth="1"/>
  </cols>
  <sheetData>
    <row r="1" spans="2:7" ht="15" customHeight="1" thickBot="1"/>
    <row r="2" spans="2:7" ht="15" customHeight="1" thickBot="1">
      <c r="B2" s="346" t="s">
        <v>17</v>
      </c>
      <c r="C2" s="347"/>
      <c r="D2" s="347"/>
      <c r="E2" s="347"/>
      <c r="F2" s="347"/>
      <c r="G2" s="348"/>
    </row>
    <row r="3" spans="2:7">
      <c r="B3" s="33"/>
      <c r="C3" s="1"/>
      <c r="D3" s="1"/>
      <c r="E3" s="27"/>
      <c r="F3" s="37"/>
      <c r="G3" s="33"/>
    </row>
    <row r="4" spans="2:7" ht="23.4" customHeight="1">
      <c r="B4" s="359" t="s">
        <v>18</v>
      </c>
      <c r="C4" s="335"/>
      <c r="D4" s="335"/>
      <c r="E4" s="335"/>
      <c r="F4" s="335"/>
      <c r="G4" s="336"/>
    </row>
    <row r="5" spans="2:7">
      <c r="B5" s="332" t="s">
        <v>1</v>
      </c>
      <c r="C5" s="298"/>
      <c r="D5" s="302" t="s">
        <v>19</v>
      </c>
      <c r="E5" s="329" t="s">
        <v>20</v>
      </c>
      <c r="F5" s="298"/>
      <c r="G5" s="330"/>
    </row>
    <row r="6" spans="2:7">
      <c r="B6" s="333"/>
      <c r="C6" s="300"/>
      <c r="D6" s="300"/>
      <c r="E6" s="300"/>
      <c r="F6" s="300"/>
      <c r="G6" s="331"/>
    </row>
    <row r="7" spans="2:7">
      <c r="B7" s="365" t="s">
        <v>138</v>
      </c>
      <c r="C7" s="366"/>
      <c r="D7" s="366"/>
      <c r="E7" s="366"/>
      <c r="F7" s="366"/>
      <c r="G7" s="367"/>
    </row>
    <row r="8" spans="2:7">
      <c r="B8" s="368"/>
      <c r="C8" s="369"/>
      <c r="D8" s="369"/>
      <c r="E8" s="369"/>
      <c r="F8" s="369"/>
      <c r="G8" s="370"/>
    </row>
    <row r="9" spans="2:7">
      <c r="B9" s="371" t="s">
        <v>202</v>
      </c>
      <c r="C9" s="372"/>
      <c r="D9" s="372"/>
      <c r="E9" s="372"/>
      <c r="F9" s="372"/>
      <c r="G9" s="373"/>
    </row>
    <row r="10" spans="2:7">
      <c r="B10" s="362" t="s">
        <v>139</v>
      </c>
      <c r="C10" s="315"/>
      <c r="D10" s="315"/>
      <c r="E10" s="315"/>
      <c r="F10" s="315"/>
      <c r="G10" s="316"/>
    </row>
    <row r="11" spans="2:7">
      <c r="B11" s="361" t="s">
        <v>140</v>
      </c>
      <c r="C11" s="336"/>
      <c r="D11" s="361" t="s">
        <v>141</v>
      </c>
      <c r="E11" s="336"/>
      <c r="F11" s="361" t="s">
        <v>142</v>
      </c>
      <c r="G11" s="336"/>
    </row>
    <row r="12" spans="2:7">
      <c r="B12" s="178" t="s">
        <v>143</v>
      </c>
      <c r="C12" s="179" t="s">
        <v>144</v>
      </c>
      <c r="D12" s="178" t="s">
        <v>25</v>
      </c>
      <c r="E12" s="179" t="s">
        <v>145</v>
      </c>
      <c r="F12" s="178" t="s">
        <v>146</v>
      </c>
      <c r="G12" s="179" t="s">
        <v>147</v>
      </c>
    </row>
    <row r="13" spans="2:7" ht="36" customHeight="1">
      <c r="B13" s="222">
        <v>10</v>
      </c>
      <c r="C13" s="223">
        <v>10</v>
      </c>
      <c r="D13" s="222">
        <v>0.5</v>
      </c>
      <c r="E13" s="222">
        <v>0.6</v>
      </c>
      <c r="F13" s="222">
        <v>20</v>
      </c>
      <c r="G13" s="222">
        <v>20</v>
      </c>
    </row>
    <row r="15" spans="2:7" ht="14.4" customHeight="1">
      <c r="B15" s="363" t="s">
        <v>212</v>
      </c>
      <c r="C15" s="364"/>
      <c r="D15" s="364"/>
      <c r="E15" s="364"/>
      <c r="F15" s="364"/>
      <c r="G15" s="364"/>
    </row>
    <row r="16" spans="2:7">
      <c r="B16" s="364"/>
      <c r="C16" s="364"/>
      <c r="D16" s="364"/>
      <c r="E16" s="364"/>
      <c r="F16" s="364"/>
      <c r="G16" s="364"/>
    </row>
    <row r="17" spans="2:20">
      <c r="B17" s="364"/>
      <c r="C17" s="364"/>
      <c r="D17" s="364"/>
      <c r="E17" s="364"/>
      <c r="F17" s="364"/>
      <c r="G17" s="364"/>
    </row>
    <row r="18" spans="2:20">
      <c r="B18" s="364"/>
      <c r="C18" s="364"/>
      <c r="D18" s="364"/>
      <c r="E18" s="364"/>
      <c r="F18" s="364"/>
      <c r="G18" s="364"/>
    </row>
    <row r="19" spans="2:20">
      <c r="B19" s="364"/>
      <c r="C19" s="364"/>
      <c r="D19" s="364"/>
      <c r="E19" s="364"/>
      <c r="F19" s="364"/>
      <c r="G19" s="364"/>
    </row>
    <row r="20" spans="2:20">
      <c r="B20" s="364"/>
      <c r="C20" s="364"/>
      <c r="D20" s="364"/>
      <c r="E20" s="364"/>
      <c r="F20" s="364"/>
      <c r="G20" s="364"/>
    </row>
    <row r="23" spans="2:20" ht="43.95" customHeight="1">
      <c r="B23" s="356" t="s">
        <v>214</v>
      </c>
      <c r="C23" s="357"/>
      <c r="D23" s="357"/>
      <c r="E23" s="357"/>
      <c r="F23" s="357"/>
      <c r="G23" s="358"/>
      <c r="H23" s="360" t="s">
        <v>211</v>
      </c>
      <c r="I23" s="360"/>
      <c r="J23" s="254" t="s">
        <v>149</v>
      </c>
    </row>
    <row r="24" spans="2:20" ht="30.6" customHeight="1">
      <c r="B24" t="s">
        <v>151</v>
      </c>
      <c r="C24" s="221" t="s">
        <v>203</v>
      </c>
      <c r="D24" s="221" t="s">
        <v>204</v>
      </c>
      <c r="E24" s="221" t="s">
        <v>205</v>
      </c>
      <c r="F24" s="221" t="s">
        <v>206</v>
      </c>
      <c r="G24" s="221" t="s">
        <v>148</v>
      </c>
    </row>
    <row r="25" spans="2:20" ht="30" customHeight="1">
      <c r="B25" s="285">
        <v>1</v>
      </c>
      <c r="C25" s="285">
        <v>0.1</v>
      </c>
      <c r="D25" s="285">
        <v>0</v>
      </c>
      <c r="E25" s="285">
        <v>0.1</v>
      </c>
      <c r="F25" s="253">
        <v>1</v>
      </c>
      <c r="G25" s="288" t="s">
        <v>207</v>
      </c>
    </row>
    <row r="26" spans="2:20" ht="30" customHeight="1">
      <c r="B26" s="285">
        <v>2</v>
      </c>
      <c r="C26" s="285">
        <v>1</v>
      </c>
      <c r="D26" s="285">
        <v>0</v>
      </c>
      <c r="E26" s="285">
        <v>1</v>
      </c>
      <c r="F26" s="253">
        <v>1</v>
      </c>
      <c r="G26" s="286" t="s">
        <v>149</v>
      </c>
    </row>
    <row r="27" spans="2:20" ht="30" customHeight="1">
      <c r="B27" s="285">
        <v>3</v>
      </c>
      <c r="C27" s="285">
        <v>1.7</v>
      </c>
      <c r="D27" s="285">
        <v>0</v>
      </c>
      <c r="E27" s="285">
        <v>1.7</v>
      </c>
      <c r="F27" s="253">
        <v>1</v>
      </c>
      <c r="G27" s="288" t="s">
        <v>207</v>
      </c>
    </row>
    <row r="28" spans="2:20" ht="30" customHeight="1">
      <c r="B28" s="285">
        <v>4</v>
      </c>
      <c r="C28" s="285">
        <v>2.4</v>
      </c>
      <c r="D28" s="285">
        <v>0</v>
      </c>
      <c r="E28" s="285">
        <v>2.4</v>
      </c>
      <c r="F28" s="253">
        <v>1</v>
      </c>
      <c r="G28" s="286" t="s">
        <v>149</v>
      </c>
    </row>
    <row r="29" spans="2:20" ht="30" customHeight="1">
      <c r="B29" s="285">
        <v>5</v>
      </c>
      <c r="C29" s="285">
        <v>3</v>
      </c>
      <c r="D29" s="285">
        <v>0</v>
      </c>
      <c r="E29" s="285">
        <v>3</v>
      </c>
      <c r="F29" s="253">
        <v>1</v>
      </c>
      <c r="G29" s="288" t="s">
        <v>207</v>
      </c>
    </row>
    <row r="30" spans="2:20" ht="30" customHeight="1">
      <c r="B30" s="285">
        <v>6</v>
      </c>
      <c r="C30" s="285">
        <v>3.6</v>
      </c>
      <c r="D30" s="285">
        <v>0</v>
      </c>
      <c r="E30" s="285">
        <v>3.6</v>
      </c>
      <c r="F30" s="253">
        <v>1</v>
      </c>
      <c r="G30" s="286" t="s">
        <v>149</v>
      </c>
    </row>
    <row r="31" spans="2:20" ht="30" customHeight="1">
      <c r="B31" s="285">
        <v>7</v>
      </c>
      <c r="C31" s="285">
        <v>4.3</v>
      </c>
      <c r="D31" s="285">
        <v>0</v>
      </c>
      <c r="E31" s="285">
        <v>4.3</v>
      </c>
      <c r="F31" s="253">
        <v>1</v>
      </c>
      <c r="G31" s="288" t="s">
        <v>207</v>
      </c>
      <c r="I31" s="243" t="s">
        <v>181</v>
      </c>
      <c r="J31" s="243"/>
      <c r="K31" s="243"/>
      <c r="L31" s="243"/>
      <c r="M31" s="243"/>
      <c r="N31" s="243"/>
      <c r="O31" s="252"/>
      <c r="P31" s="252"/>
      <c r="Q31" s="252"/>
      <c r="R31" s="252"/>
      <c r="S31" s="252"/>
      <c r="T31" s="252"/>
    </row>
    <row r="32" spans="2:20" ht="30" customHeight="1">
      <c r="B32" s="285">
        <v>8</v>
      </c>
      <c r="C32" s="285">
        <v>5</v>
      </c>
      <c r="D32" s="285">
        <v>0</v>
      </c>
      <c r="E32" s="285">
        <v>5</v>
      </c>
      <c r="F32" s="253">
        <v>1</v>
      </c>
      <c r="G32" s="286" t="s">
        <v>149</v>
      </c>
      <c r="I32" s="355"/>
      <c r="J32" s="355"/>
      <c r="K32" s="355"/>
      <c r="L32" s="355"/>
      <c r="M32" s="355"/>
      <c r="N32" s="355"/>
      <c r="O32" s="355"/>
      <c r="P32" s="355"/>
      <c r="Q32" s="355"/>
      <c r="R32" s="355"/>
      <c r="S32" s="355"/>
      <c r="T32" s="355"/>
    </row>
    <row r="33" spans="2:28" ht="30" customHeight="1">
      <c r="B33" s="285">
        <v>9</v>
      </c>
      <c r="C33" s="285">
        <v>5.9</v>
      </c>
      <c r="D33" s="285">
        <v>0</v>
      </c>
      <c r="E33" s="285">
        <v>5.9</v>
      </c>
      <c r="F33" s="253">
        <v>1</v>
      </c>
      <c r="G33" s="288" t="s">
        <v>207</v>
      </c>
      <c r="I33" s="355"/>
      <c r="J33" s="355"/>
      <c r="K33" s="355"/>
      <c r="L33" s="355"/>
      <c r="M33" s="355"/>
      <c r="N33" s="355"/>
      <c r="O33" s="355"/>
      <c r="P33" s="355"/>
      <c r="Q33" s="355"/>
      <c r="R33" s="355"/>
      <c r="S33" s="355"/>
      <c r="T33" s="355"/>
    </row>
    <row r="34" spans="2:28" ht="30" customHeight="1">
      <c r="I34" s="355"/>
      <c r="J34" s="355"/>
      <c r="K34" s="355"/>
      <c r="L34" s="355"/>
      <c r="M34" s="355"/>
      <c r="N34" s="355"/>
      <c r="O34" s="355"/>
      <c r="P34" s="355"/>
      <c r="Q34" s="355"/>
      <c r="R34" s="355"/>
      <c r="S34" s="355"/>
      <c r="T34" s="355"/>
    </row>
    <row r="35" spans="2:28" ht="30" customHeight="1">
      <c r="B35" s="225" t="s">
        <v>213</v>
      </c>
      <c r="C35" s="226"/>
      <c r="D35" s="226"/>
      <c r="E35" s="226"/>
      <c r="F35" s="226"/>
      <c r="G35" s="227"/>
      <c r="I35" s="355"/>
      <c r="J35" s="355"/>
      <c r="K35" s="355"/>
      <c r="L35" s="355"/>
      <c r="M35" s="355"/>
      <c r="N35" s="355"/>
      <c r="O35" s="355"/>
      <c r="P35" s="355"/>
      <c r="Q35" s="355"/>
      <c r="R35" s="355"/>
      <c r="S35" s="355"/>
      <c r="T35" s="355"/>
    </row>
    <row r="36" spans="2:28" ht="30" customHeight="1">
      <c r="B36" t="s">
        <v>151</v>
      </c>
      <c r="C36" s="221" t="s">
        <v>203</v>
      </c>
      <c r="D36" s="221" t="s">
        <v>204</v>
      </c>
      <c r="E36" s="221" t="s">
        <v>205</v>
      </c>
      <c r="F36" s="221" t="s">
        <v>206</v>
      </c>
      <c r="G36" s="221" t="s">
        <v>148</v>
      </c>
      <c r="I36" s="355"/>
      <c r="J36" s="355"/>
      <c r="K36" s="355"/>
      <c r="L36" s="355"/>
      <c r="M36" s="355"/>
      <c r="N36" s="355"/>
      <c r="O36" s="355"/>
      <c r="P36" s="355"/>
      <c r="Q36" s="355"/>
      <c r="R36" s="355"/>
      <c r="S36" s="355"/>
      <c r="T36" s="355"/>
      <c r="AB36" s="224"/>
    </row>
    <row r="37" spans="2:28" ht="30" customHeight="1">
      <c r="B37" s="190">
        <v>1</v>
      </c>
      <c r="C37" s="190">
        <v>0</v>
      </c>
      <c r="D37" s="190">
        <v>0.1</v>
      </c>
      <c r="E37" s="190">
        <v>6</v>
      </c>
      <c r="F37" s="201">
        <v>0.1</v>
      </c>
      <c r="G37" s="287" t="s">
        <v>149</v>
      </c>
      <c r="I37" s="355"/>
      <c r="J37" s="355"/>
      <c r="K37" s="355"/>
      <c r="L37" s="355"/>
      <c r="M37" s="355"/>
      <c r="N37" s="355"/>
      <c r="O37" s="355"/>
      <c r="P37" s="355"/>
      <c r="Q37" s="355"/>
      <c r="R37" s="355"/>
      <c r="S37" s="355"/>
      <c r="T37" s="355"/>
    </row>
    <row r="38" spans="2:28" ht="30" customHeight="1">
      <c r="B38" s="190">
        <v>2</v>
      </c>
      <c r="C38" s="190">
        <v>0</v>
      </c>
      <c r="D38" s="190">
        <v>0.9</v>
      </c>
      <c r="E38" s="190">
        <v>6</v>
      </c>
      <c r="F38" s="201">
        <v>0.9</v>
      </c>
      <c r="G38" s="287" t="s">
        <v>149</v>
      </c>
      <c r="I38" s="355"/>
      <c r="J38" s="355"/>
      <c r="K38" s="355"/>
      <c r="L38" s="355"/>
      <c r="M38" s="355"/>
      <c r="N38" s="355"/>
      <c r="O38" s="355"/>
      <c r="P38" s="355"/>
      <c r="Q38" s="355"/>
      <c r="R38" s="355"/>
      <c r="S38" s="355"/>
      <c r="T38" s="355"/>
    </row>
    <row r="39" spans="2:28" ht="30" customHeight="1">
      <c r="I39" s="355"/>
      <c r="J39" s="355"/>
      <c r="K39" s="355"/>
      <c r="L39" s="355"/>
      <c r="M39" s="355"/>
      <c r="N39" s="355"/>
      <c r="O39" s="355"/>
      <c r="P39" s="355"/>
      <c r="Q39" s="355"/>
      <c r="R39" s="355"/>
      <c r="S39" s="355"/>
      <c r="T39" s="355"/>
    </row>
    <row r="40" spans="2:28" ht="30" customHeight="1">
      <c r="H40" t="s">
        <v>1</v>
      </c>
    </row>
    <row r="41" spans="2:28" ht="30" customHeight="1"/>
    <row r="42" spans="2:28" ht="30" customHeight="1"/>
    <row r="43" spans="2:28" ht="30" customHeight="1"/>
    <row r="44" spans="2:28" ht="30" customHeight="1"/>
    <row r="45" spans="2:28" ht="30" customHeight="1"/>
    <row r="46" spans="2:28" ht="30" customHeight="1"/>
    <row r="47" spans="2:28" ht="30" customHeight="1"/>
    <row r="48" spans="2:2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sheetData>
  <sortState xmlns:xlrd2="http://schemas.microsoft.com/office/spreadsheetml/2017/richdata2" ref="A3:G6">
    <sortCondition ref="A2:A6"/>
  </sortState>
  <mergeCells count="15">
    <mergeCell ref="B2:G2"/>
    <mergeCell ref="F11:G11"/>
    <mergeCell ref="B10:G10"/>
    <mergeCell ref="B11:C11"/>
    <mergeCell ref="B15:G20"/>
    <mergeCell ref="D11:E11"/>
    <mergeCell ref="B7:G8"/>
    <mergeCell ref="B9:G9"/>
    <mergeCell ref="I32:T39"/>
    <mergeCell ref="B23:G23"/>
    <mergeCell ref="B5:C6"/>
    <mergeCell ref="E5:G6"/>
    <mergeCell ref="B4:G4"/>
    <mergeCell ref="D5:D6"/>
    <mergeCell ref="H23:I23"/>
  </mergeCells>
  <dataValidations count="1">
    <dataValidation type="list" allowBlank="1" showInputMessage="1" showErrorMessage="1" sqref="F13:G13" xr:uid="{00000000-0002-0000-0200-000000000000}">
      <formula1>"16,20,25,28,32"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6" r:id="rId3" name="Button 38">
              <controlPr defaultSize="0" print="0" autoFill="0" autoPict="0" macro="[0]!Feuil2.Update_tirants">
                <anchor moveWithCells="1" sizeWithCells="1">
                  <from>
                    <xdr:col>7</xdr:col>
                    <xdr:colOff>259080</xdr:colOff>
                    <xdr:row>9</xdr:row>
                    <xdr:rowOff>160020</xdr:rowOff>
                  </from>
                  <to>
                    <xdr:col>9</xdr:col>
                    <xdr:colOff>388620</xdr:colOff>
                    <xdr:row>12</xdr:row>
                    <xdr:rowOff>441960</xdr:rowOff>
                  </to>
                </anchor>
              </controlPr>
            </control>
          </mc:Choice>
        </mc:AlternateContent>
        <mc:AlternateContent xmlns:mc="http://schemas.openxmlformats.org/markup-compatibility/2006">
          <mc:Choice Requires="x14">
            <control shapeId="2087" r:id="rId4" name="Button 39">
              <controlPr defaultSize="0" print="0" autoFill="0" autoPict="0" macro="[0]!Feuil2.sofistik_excel">
                <anchor moveWithCells="1" sizeWithCells="1">
                  <from>
                    <xdr:col>10</xdr:col>
                    <xdr:colOff>137160</xdr:colOff>
                    <xdr:row>9</xdr:row>
                    <xdr:rowOff>152400</xdr:rowOff>
                  </from>
                  <to>
                    <xdr:col>12</xdr:col>
                    <xdr:colOff>480060</xdr:colOff>
                    <xdr:row>12</xdr:row>
                    <xdr:rowOff>457200</xdr:rowOff>
                  </to>
                </anchor>
              </controlPr>
            </control>
          </mc:Choice>
        </mc:AlternateContent>
      </controls>
    </mc:Choice>
  </mc:AlternateContent>
  <tableParts count="2">
    <tablePart r:id="rId5"/>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748A0-2530-440D-A497-F89CFF1DDDFB}">
  <sheetPr codeName="Feuil5">
    <tabColor theme="7" tint="0.59999389629810485"/>
  </sheetPr>
  <dimension ref="B1:Y40"/>
  <sheetViews>
    <sheetView topLeftCell="F16" zoomScale="115" zoomScaleNormal="115" workbookViewId="0">
      <selection activeCell="Q40" sqref="Q40"/>
    </sheetView>
  </sheetViews>
  <sheetFormatPr baseColWidth="10" defaultRowHeight="14.4"/>
  <cols>
    <col min="2" max="2" width="17.5546875" customWidth="1"/>
    <col min="3" max="3" width="14.33203125" customWidth="1"/>
    <col min="4" max="4" width="13.33203125" customWidth="1"/>
    <col min="5" max="5" width="25.88671875" customWidth="1"/>
    <col min="6" max="6" width="14.6640625" customWidth="1"/>
    <col min="7" max="7" width="16.33203125" customWidth="1"/>
    <col min="16" max="16" width="12.44140625" customWidth="1"/>
  </cols>
  <sheetData>
    <row r="1" spans="2:25" ht="15" thickBot="1"/>
    <row r="2" spans="2:25" ht="15" thickBot="1">
      <c r="B2" s="346" t="s">
        <v>17</v>
      </c>
      <c r="C2" s="347"/>
      <c r="D2" s="347"/>
      <c r="E2" s="347"/>
      <c r="F2" s="347"/>
      <c r="G2" s="348"/>
    </row>
    <row r="3" spans="2:25">
      <c r="B3" s="33"/>
      <c r="C3" s="1"/>
      <c r="D3" s="1"/>
      <c r="E3" s="27"/>
      <c r="F3" s="37"/>
      <c r="G3" s="33"/>
    </row>
    <row r="4" spans="2:25" ht="23.4">
      <c r="B4" s="359" t="s">
        <v>18</v>
      </c>
      <c r="C4" s="335"/>
      <c r="D4" s="335"/>
      <c r="E4" s="335"/>
      <c r="F4" s="335"/>
      <c r="G4" s="336"/>
    </row>
    <row r="5" spans="2:25">
      <c r="B5" s="332" t="s">
        <v>1</v>
      </c>
      <c r="C5" s="298"/>
      <c r="D5" s="302" t="s">
        <v>19</v>
      </c>
      <c r="E5" s="329" t="s">
        <v>20</v>
      </c>
      <c r="F5" s="298"/>
      <c r="G5" s="330"/>
    </row>
    <row r="6" spans="2:25">
      <c r="B6" s="333"/>
      <c r="C6" s="300"/>
      <c r="D6" s="300"/>
      <c r="E6" s="300"/>
      <c r="F6" s="300"/>
      <c r="G6" s="331"/>
    </row>
    <row r="7" spans="2:25">
      <c r="B7" s="365" t="s">
        <v>182</v>
      </c>
      <c r="C7" s="366"/>
      <c r="D7" s="366"/>
      <c r="E7" s="366"/>
      <c r="F7" s="366"/>
      <c r="G7" s="367"/>
    </row>
    <row r="8" spans="2:25">
      <c r="B8" s="368"/>
      <c r="C8" s="369"/>
      <c r="D8" s="369"/>
      <c r="E8" s="369"/>
      <c r="F8" s="369"/>
      <c r="G8" s="370"/>
    </row>
    <row r="9" spans="2:25">
      <c r="B9" s="376" t="s">
        <v>202</v>
      </c>
      <c r="C9" s="377"/>
      <c r="D9" s="377"/>
      <c r="E9" s="377"/>
      <c r="F9" s="377"/>
      <c r="G9" s="378"/>
    </row>
    <row r="11" spans="2:25" ht="33.6" customHeight="1">
      <c r="B11" s="225" t="s">
        <v>221</v>
      </c>
      <c r="C11" s="226"/>
      <c r="D11" s="226"/>
      <c r="E11" s="226"/>
      <c r="F11" s="226"/>
      <c r="G11" s="227"/>
      <c r="I11" s="278" t="s">
        <v>239</v>
      </c>
      <c r="J11" s="279"/>
      <c r="K11" s="279"/>
      <c r="L11" s="279"/>
      <c r="M11" s="279"/>
      <c r="N11" s="279"/>
      <c r="O11" s="279"/>
      <c r="P11" s="279"/>
      <c r="Q11" s="281"/>
      <c r="S11" s="374" t="s">
        <v>240</v>
      </c>
      <c r="T11" s="374"/>
      <c r="U11" s="374"/>
      <c r="V11" s="374"/>
      <c r="W11" s="374"/>
      <c r="X11" s="374"/>
      <c r="Y11" s="374"/>
    </row>
    <row r="12" spans="2:25" ht="30" customHeight="1">
      <c r="B12" s="375" t="s">
        <v>222</v>
      </c>
      <c r="C12" s="375"/>
      <c r="D12" s="375"/>
      <c r="E12" s="375"/>
      <c r="F12" s="375"/>
      <c r="G12" s="375"/>
      <c r="S12" s="374" t="s">
        <v>241</v>
      </c>
      <c r="T12" s="374"/>
      <c r="U12" s="374"/>
      <c r="V12" s="374"/>
      <c r="W12" s="374"/>
      <c r="X12" s="374"/>
      <c r="Y12" s="374"/>
    </row>
    <row r="13" spans="2:25" ht="24.6" customHeight="1">
      <c r="S13" s="374"/>
      <c r="T13" s="374"/>
      <c r="U13" s="374"/>
      <c r="V13" s="374"/>
      <c r="W13" s="374"/>
      <c r="X13" s="374"/>
      <c r="Y13" s="374"/>
    </row>
    <row r="14" spans="2:25" ht="24.6" customHeight="1">
      <c r="B14" s="272" t="s">
        <v>223</v>
      </c>
      <c r="C14" s="271"/>
      <c r="D14" s="271"/>
      <c r="E14" s="271"/>
      <c r="F14" s="271"/>
      <c r="G14" s="271"/>
      <c r="S14" s="374" t="s">
        <v>242</v>
      </c>
      <c r="T14" s="374"/>
      <c r="U14" s="374"/>
      <c r="V14" s="374"/>
      <c r="W14" s="374"/>
      <c r="X14" s="374"/>
      <c r="Y14" s="374"/>
    </row>
    <row r="15" spans="2:25" ht="25.05" customHeight="1">
      <c r="B15" s="275" t="s">
        <v>151</v>
      </c>
      <c r="C15" s="275" t="s">
        <v>25</v>
      </c>
      <c r="D15" s="275" t="s">
        <v>26</v>
      </c>
      <c r="E15" s="273" t="s">
        <v>236</v>
      </c>
      <c r="F15" s="273" t="s">
        <v>237</v>
      </c>
      <c r="G15" s="273" t="s">
        <v>66</v>
      </c>
    </row>
    <row r="16" spans="2:25" ht="25.05" customHeight="1">
      <c r="B16" s="276">
        <v>1</v>
      </c>
      <c r="C16" s="276">
        <v>1</v>
      </c>
      <c r="D16" s="276">
        <v>0.1</v>
      </c>
      <c r="E16" s="276">
        <v>1</v>
      </c>
      <c r="F16" s="276"/>
      <c r="G16" s="276"/>
    </row>
    <row r="17" spans="2:16" ht="25.05" customHeight="1">
      <c r="B17" s="276">
        <v>2</v>
      </c>
      <c r="C17" s="276">
        <v>1</v>
      </c>
      <c r="D17" s="276">
        <v>0.9</v>
      </c>
      <c r="E17" s="276"/>
      <c r="F17" s="276"/>
      <c r="G17" s="276"/>
    </row>
    <row r="18" spans="2:16" ht="25.05" customHeight="1">
      <c r="B18" s="276">
        <v>3</v>
      </c>
      <c r="C18" s="276">
        <v>2.4</v>
      </c>
      <c r="D18" s="276">
        <v>0.1</v>
      </c>
      <c r="E18" s="276"/>
      <c r="F18" s="276"/>
      <c r="G18" s="276"/>
    </row>
    <row r="19" spans="2:16" ht="25.05" customHeight="1">
      <c r="B19" s="276">
        <v>4</v>
      </c>
      <c r="C19" s="276">
        <v>2.4</v>
      </c>
      <c r="D19" s="276">
        <v>0.9</v>
      </c>
      <c r="E19" s="276"/>
      <c r="F19" s="276">
        <v>1</v>
      </c>
      <c r="G19" s="276"/>
      <c r="I19" s="284"/>
      <c r="J19" s="284"/>
      <c r="K19" s="284"/>
      <c r="L19" s="284"/>
      <c r="M19" s="284"/>
      <c r="N19" s="284"/>
      <c r="O19" s="284"/>
      <c r="P19" s="284"/>
    </row>
    <row r="20" spans="2:16" ht="25.05" customHeight="1">
      <c r="B20" s="276">
        <v>5</v>
      </c>
      <c r="C20" s="276">
        <v>3.6</v>
      </c>
      <c r="D20" s="276">
        <v>0.1</v>
      </c>
      <c r="E20" s="276"/>
      <c r="F20" s="276"/>
      <c r="G20" s="276"/>
    </row>
    <row r="21" spans="2:16" ht="25.05" customHeight="1">
      <c r="B21" s="276">
        <v>6</v>
      </c>
      <c r="C21" s="276">
        <v>3.6</v>
      </c>
      <c r="D21" s="276">
        <v>0.9</v>
      </c>
      <c r="E21" s="276"/>
      <c r="F21" s="276">
        <v>2</v>
      </c>
      <c r="G21" s="276"/>
    </row>
    <row r="22" spans="2:16" ht="25.05" customHeight="1">
      <c r="B22" s="276">
        <v>7</v>
      </c>
      <c r="C22" s="276">
        <v>5</v>
      </c>
      <c r="D22" s="276">
        <v>0.1</v>
      </c>
      <c r="E22" s="276">
        <v>2</v>
      </c>
      <c r="F22" s="276"/>
      <c r="G22" s="276"/>
    </row>
    <row r="23" spans="2:16" ht="25.05" customHeight="1">
      <c r="B23" s="276">
        <v>8</v>
      </c>
      <c r="C23" s="276">
        <v>5</v>
      </c>
      <c r="D23" s="276">
        <v>0.9</v>
      </c>
      <c r="E23" s="276"/>
      <c r="F23" s="276"/>
      <c r="G23" s="276"/>
    </row>
    <row r="24" spans="2:16" ht="25.05" customHeight="1"/>
    <row r="25" spans="2:16" ht="25.05" customHeight="1">
      <c r="B25" s="272" t="s">
        <v>230</v>
      </c>
      <c r="C25" s="271"/>
      <c r="D25" s="271"/>
      <c r="E25" s="271"/>
      <c r="F25" s="271"/>
      <c r="G25" s="271"/>
    </row>
    <row r="26" spans="2:16" ht="25.05" customHeight="1">
      <c r="B26" s="274" t="s">
        <v>151</v>
      </c>
      <c r="C26" s="274" t="s">
        <v>226</v>
      </c>
      <c r="D26" s="274" t="s">
        <v>229</v>
      </c>
      <c r="E26" s="277" t="s">
        <v>227</v>
      </c>
      <c r="F26" s="274" t="s">
        <v>228</v>
      </c>
      <c r="G26" s="274" t="s">
        <v>69</v>
      </c>
    </row>
    <row r="27" spans="2:16" ht="25.05" customHeight="1">
      <c r="B27" s="276"/>
      <c r="C27" s="276"/>
      <c r="D27" s="276"/>
      <c r="E27" s="280"/>
      <c r="F27" s="283"/>
      <c r="G27" s="276"/>
      <c r="I27" s="284"/>
      <c r="J27" s="284"/>
      <c r="K27" s="284"/>
      <c r="L27" s="284"/>
      <c r="M27" s="284"/>
      <c r="N27" s="284"/>
      <c r="O27" s="284"/>
      <c r="P27" s="284"/>
    </row>
    <row r="28" spans="2:16" ht="25.05" customHeight="1"/>
    <row r="29" spans="2:16" ht="25.05" customHeight="1"/>
    <row r="30" spans="2:16" ht="25.05" customHeight="1"/>
    <row r="31" spans="2:16" ht="25.05" customHeight="1"/>
    <row r="32" spans="2:16" ht="25.05" customHeight="1"/>
    <row r="33" ht="25.05" customHeight="1"/>
    <row r="34" ht="25.05" customHeight="1"/>
    <row r="35" ht="25.05" customHeight="1"/>
    <row r="36" ht="25.05" customHeight="1"/>
    <row r="37" ht="25.05" customHeight="1"/>
    <row r="38" ht="25.05" customHeight="1"/>
    <row r="39" ht="25.05" customHeight="1"/>
    <row r="40" ht="25.05" customHeight="1"/>
  </sheetData>
  <mergeCells count="11">
    <mergeCell ref="S11:Y11"/>
    <mergeCell ref="S12:Y13"/>
    <mergeCell ref="S14:Y14"/>
    <mergeCell ref="B12:G12"/>
    <mergeCell ref="B9:G9"/>
    <mergeCell ref="B7:G8"/>
    <mergeCell ref="B2:G2"/>
    <mergeCell ref="B4:G4"/>
    <mergeCell ref="B5:C6"/>
    <mergeCell ref="D5:D6"/>
    <mergeCell ref="E5:G6"/>
  </mergeCells>
  <phoneticPr fontId="5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Feuil5.trouver_bielles_et_modèle_à_barres">
                <anchor moveWithCells="1" sizeWithCells="1">
                  <from>
                    <xdr:col>7</xdr:col>
                    <xdr:colOff>777240</xdr:colOff>
                    <xdr:row>2</xdr:row>
                    <xdr:rowOff>160020</xdr:rowOff>
                  </from>
                  <to>
                    <xdr:col>11</xdr:col>
                    <xdr:colOff>121920</xdr:colOff>
                    <xdr:row>7</xdr:row>
                    <xdr:rowOff>83820</xdr:rowOff>
                  </to>
                </anchor>
              </controlPr>
            </control>
          </mc:Choice>
        </mc:AlternateContent>
      </controls>
    </mc:Choice>
  </mc:AlternateContent>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theme="1"/>
  </sheetPr>
  <dimension ref="A1:H10"/>
  <sheetViews>
    <sheetView zoomScale="70" zoomScaleNormal="70" workbookViewId="0">
      <selection activeCell="A2" sqref="A2:D2"/>
    </sheetView>
  </sheetViews>
  <sheetFormatPr baseColWidth="10" defaultRowHeight="14.4"/>
  <cols>
    <col min="1" max="8" width="12.109375" customWidth="1"/>
  </cols>
  <sheetData>
    <row r="1" spans="1:8">
      <c r="A1" s="355" t="s">
        <v>179</v>
      </c>
      <c r="B1" s="355"/>
      <c r="C1" s="355"/>
      <c r="D1" s="355"/>
      <c r="E1" s="355" t="s">
        <v>180</v>
      </c>
      <c r="F1" s="355"/>
      <c r="G1" s="355"/>
      <c r="H1" s="355"/>
    </row>
    <row r="2" spans="1:8">
      <c r="A2">
        <v>0.1</v>
      </c>
      <c r="B2">
        <v>0</v>
      </c>
      <c r="C2">
        <v>0.1</v>
      </c>
      <c r="D2">
        <v>1</v>
      </c>
      <c r="E2">
        <v>0</v>
      </c>
      <c r="F2">
        <v>0.1</v>
      </c>
      <c r="G2">
        <v>6</v>
      </c>
      <c r="H2">
        <v>0.1</v>
      </c>
    </row>
    <row r="3" spans="1:8">
      <c r="A3" s="228">
        <v>1</v>
      </c>
      <c r="B3" s="228">
        <v>0</v>
      </c>
      <c r="C3" s="228">
        <v>1</v>
      </c>
      <c r="D3" s="228">
        <v>1</v>
      </c>
      <c r="E3">
        <v>0</v>
      </c>
      <c r="F3">
        <v>0.9</v>
      </c>
      <c r="G3">
        <v>6</v>
      </c>
      <c r="H3">
        <v>0.9</v>
      </c>
    </row>
    <row r="4" spans="1:8">
      <c r="A4" s="228">
        <v>1.7</v>
      </c>
      <c r="B4" s="228">
        <v>0</v>
      </c>
      <c r="C4" s="228">
        <v>1.7</v>
      </c>
      <c r="D4" s="228">
        <v>1</v>
      </c>
    </row>
    <row r="5" spans="1:8">
      <c r="A5" s="228">
        <v>2.4</v>
      </c>
      <c r="B5" s="228">
        <v>0</v>
      </c>
      <c r="C5" s="228">
        <v>2.4</v>
      </c>
      <c r="D5" s="228">
        <v>1</v>
      </c>
    </row>
    <row r="6" spans="1:8">
      <c r="A6" s="228">
        <v>3</v>
      </c>
      <c r="B6" s="228">
        <v>0</v>
      </c>
      <c r="C6" s="228">
        <v>3</v>
      </c>
      <c r="D6" s="228">
        <v>1</v>
      </c>
    </row>
    <row r="7" spans="1:8">
      <c r="A7" s="228">
        <v>3.6</v>
      </c>
      <c r="B7" s="228">
        <v>0</v>
      </c>
      <c r="C7" s="228">
        <v>3.6</v>
      </c>
      <c r="D7" s="228">
        <v>1</v>
      </c>
    </row>
    <row r="8" spans="1:8">
      <c r="A8">
        <v>4.3</v>
      </c>
      <c r="B8">
        <v>0</v>
      </c>
      <c r="C8">
        <v>4.3</v>
      </c>
      <c r="D8">
        <v>1</v>
      </c>
    </row>
    <row r="9" spans="1:8">
      <c r="A9">
        <v>5</v>
      </c>
      <c r="B9">
        <v>0</v>
      </c>
      <c r="C9">
        <v>5</v>
      </c>
      <c r="D9">
        <v>1</v>
      </c>
    </row>
    <row r="10" spans="1:8">
      <c r="A10">
        <v>5.9</v>
      </c>
      <c r="B10">
        <v>0</v>
      </c>
      <c r="C10">
        <v>5.9</v>
      </c>
      <c r="D10">
        <v>1</v>
      </c>
    </row>
  </sheetData>
  <sortState xmlns:xlrd2="http://schemas.microsoft.com/office/spreadsheetml/2017/richdata2" ref="A1:D2">
    <sortCondition ref="A1"/>
  </sortState>
  <mergeCells count="2">
    <mergeCell ref="A1:D1"/>
    <mergeCell ref="E1:H1"/>
  </mergeCells>
  <phoneticPr fontId="5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42D3-A0AB-4BF0-96CC-903A94A39A06}">
  <sheetPr codeName="Feuil9">
    <tabColor theme="1"/>
  </sheetPr>
  <dimension ref="B2:H19"/>
  <sheetViews>
    <sheetView tabSelected="1" workbookViewId="0">
      <selection activeCell="G17" sqref="G17"/>
    </sheetView>
  </sheetViews>
  <sheetFormatPr baseColWidth="10" defaultRowHeight="14.4"/>
  <cols>
    <col min="4" max="4" width="20.6640625" customWidth="1"/>
    <col min="5" max="5" width="14.6640625" bestFit="1" customWidth="1"/>
    <col min="7" max="7" width="43.5546875" customWidth="1"/>
  </cols>
  <sheetData>
    <row r="2" spans="2:8">
      <c r="B2" s="62" t="s">
        <v>42</v>
      </c>
      <c r="C2" s="180">
        <f>'Input data'!C16</f>
        <v>0.434</v>
      </c>
      <c r="D2" t="s">
        <v>186</v>
      </c>
      <c r="E2">
        <f>Armatures!D13</f>
        <v>0.5</v>
      </c>
      <c r="G2" t="s">
        <v>218</v>
      </c>
    </row>
    <row r="3" spans="2:8">
      <c r="B3" s="62" t="s">
        <v>45</v>
      </c>
      <c r="C3" s="180">
        <f>'Input data'!C14</f>
        <v>1</v>
      </c>
      <c r="D3" t="s">
        <v>187</v>
      </c>
      <c r="E3">
        <f>Armatures!E13</f>
        <v>0.6</v>
      </c>
      <c r="G3" t="s">
        <v>201</v>
      </c>
      <c r="H3" t="b">
        <f>IF(C6=C9,TRUE,FALSE)</f>
        <v>1</v>
      </c>
    </row>
    <row r="4" spans="2:8">
      <c r="B4" s="62" t="s">
        <v>38</v>
      </c>
      <c r="C4" s="180">
        <f>'Input data'!C12</f>
        <v>6</v>
      </c>
      <c r="D4" t="s">
        <v>188</v>
      </c>
      <c r="E4">
        <f>Armatures!C13</f>
        <v>10</v>
      </c>
    </row>
    <row r="5" spans="2:8">
      <c r="B5" s="229" t="s">
        <v>195</v>
      </c>
      <c r="C5">
        <f>COUNTIF(Supports[Notation],"&lt;&gt;")</f>
        <v>2</v>
      </c>
      <c r="D5" t="s">
        <v>189</v>
      </c>
      <c r="E5">
        <f>Armatures!B13</f>
        <v>10</v>
      </c>
    </row>
    <row r="6" spans="2:8">
      <c r="B6" s="229" t="s">
        <v>196</v>
      </c>
      <c r="C6">
        <f>COUNTIF(Pieux[Notation],"&lt;&gt;")</f>
        <v>2</v>
      </c>
      <c r="D6" t="s">
        <v>190</v>
      </c>
      <c r="E6">
        <f>Armatures!G13</f>
        <v>20</v>
      </c>
    </row>
    <row r="7" spans="2:8" ht="28.8">
      <c r="B7" s="229" t="s">
        <v>197</v>
      </c>
      <c r="C7" cm="1">
        <f t="array" ref="C7">ROW(Supports[#Headers])+1</f>
        <v>47</v>
      </c>
      <c r="D7" t="s">
        <v>191</v>
      </c>
      <c r="E7">
        <f>Armatures!F13</f>
        <v>20</v>
      </c>
    </row>
    <row r="8" spans="2:8">
      <c r="B8" s="229" t="s">
        <v>198</v>
      </c>
      <c r="C8" cm="1">
        <f t="array" ref="C8">ROW(Pieux[#Headers])+1</f>
        <v>39</v>
      </c>
      <c r="D8" s="229" t="s">
        <v>192</v>
      </c>
      <c r="E8">
        <f>COUNTIF(Tirants_vert[ID],"&lt;&gt;")</f>
        <v>9</v>
      </c>
    </row>
    <row r="9" spans="2:8" ht="28.8">
      <c r="B9" s="229" t="s">
        <v>200</v>
      </c>
      <c r="C9">
        <f>COUNTIF(Chargement[N° pieu],"&lt;&gt;")</f>
        <v>2</v>
      </c>
      <c r="D9" s="229" t="s">
        <v>194</v>
      </c>
      <c r="E9" cm="1">
        <f t="array" ref="E9" xml:space="preserve"> ROW(Tirants_vert[#Headers])+1</f>
        <v>25</v>
      </c>
    </row>
    <row r="10" spans="2:8" ht="28.8">
      <c r="B10" s="229" t="s">
        <v>199</v>
      </c>
      <c r="C10" cm="1">
        <f t="array" ref="C10">ROW(Chargement[#Headers])+2</f>
        <v>54</v>
      </c>
      <c r="D10" s="229" t="s">
        <v>193</v>
      </c>
      <c r="E10">
        <f>COUNTIF(Tirants_hor[ID],"&lt;&gt;")</f>
        <v>2</v>
      </c>
    </row>
    <row r="11" spans="2:8">
      <c r="D11" s="229" t="s">
        <v>194</v>
      </c>
      <c r="E11" cm="1">
        <f t="array" ref="E11" xml:space="preserve"> ROW(Tirants_hor[#Headers])+1</f>
        <v>37</v>
      </c>
    </row>
    <row r="12" spans="2:8" ht="28.8">
      <c r="B12" s="229" t="s">
        <v>219</v>
      </c>
      <c r="C12" cm="1">
        <f t="array" ref="C12">ROW(Contour_externe[#Headers])+1</f>
        <v>25</v>
      </c>
    </row>
    <row r="13" spans="2:8">
      <c r="B13" s="229" t="s">
        <v>220</v>
      </c>
      <c r="C13">
        <f>COUNTIF(Contour_externe[n° point],"&lt;&gt;")</f>
        <v>5</v>
      </c>
    </row>
    <row r="15" spans="2:8">
      <c r="B15" s="355" t="s">
        <v>231</v>
      </c>
      <c r="C15" s="355"/>
      <c r="D15" s="355"/>
      <c r="E15" s="355"/>
      <c r="F15" s="355"/>
    </row>
    <row r="16" spans="2:8">
      <c r="B16" s="229" t="s">
        <v>232</v>
      </c>
      <c r="C16">
        <f>COUNTIF(Noeuds_treillis[ID],"&lt;&gt;")</f>
        <v>8</v>
      </c>
    </row>
    <row r="17" spans="2:3" ht="28.8">
      <c r="B17" s="229" t="s">
        <v>233</v>
      </c>
      <c r="C17" cm="1">
        <f t="array" ref="C17">ROW(Noeuds_treillis[#Headers])+1</f>
        <v>16</v>
      </c>
    </row>
    <row r="18" spans="2:3">
      <c r="B18" s="229" t="s">
        <v>234</v>
      </c>
      <c r="C18">
        <f>COUNTIF(Treillis[ID],"&lt;&gt;")</f>
        <v>0</v>
      </c>
    </row>
    <row r="19" spans="2:3" ht="28.8">
      <c r="B19" s="229" t="s">
        <v>235</v>
      </c>
      <c r="C19" cm="1">
        <f t="array" ref="C19">ROW(Treillis[#Headers])+1</f>
        <v>27</v>
      </c>
    </row>
  </sheetData>
  <mergeCells count="1">
    <mergeCell ref="B15:F15"/>
  </mergeCells>
  <conditionalFormatting sqref="H3">
    <cfRule type="containsText" dxfId="1" priority="1" operator="containsText" text="FAUX">
      <formula>NOT(ISERROR(SEARCH("FAUX",H3)))</formula>
    </cfRule>
    <cfRule type="cellIs" dxfId="0" priority="2" operator="equal">
      <formula>TRUE</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D4343-FFD8-4109-BA28-14A9AA4E8A3B}">
  <sheetPr codeName="Feuil8">
    <tabColor theme="1"/>
  </sheetPr>
  <dimension ref="B2:AI10"/>
  <sheetViews>
    <sheetView zoomScale="85" zoomScaleNormal="85" workbookViewId="0">
      <selection activeCell="D3" sqref="D3"/>
    </sheetView>
  </sheetViews>
  <sheetFormatPr baseColWidth="10" defaultRowHeight="14.4"/>
  <sheetData>
    <row r="2" spans="2:35">
      <c r="B2" t="str" cm="1">
        <f t="array" ref="B2:G3">Pieux[]</f>
        <v>Pieu -1</v>
      </c>
      <c r="C2" s="75">
        <v>1</v>
      </c>
      <c r="D2" s="75">
        <v>0</v>
      </c>
      <c r="E2">
        <v>0.78300000000000003</v>
      </c>
      <c r="F2">
        <v>1.2170000000000001</v>
      </c>
      <c r="G2">
        <v>0</v>
      </c>
      <c r="H2" t="str" cm="1">
        <f t="array" ref="H2:M3">Supports[]</f>
        <v>Appui -1</v>
      </c>
      <c r="I2">
        <v>2.4</v>
      </c>
      <c r="J2">
        <v>1</v>
      </c>
      <c r="K2" t="str">
        <v xml:space="preserve">Espacement selon x </v>
      </c>
      <c r="L2" t="str">
        <v xml:space="preserve"> </v>
      </c>
      <c r="M2">
        <v>0</v>
      </c>
      <c r="N2" cm="1">
        <f t="array" ref="N2:S10">Tirants_vert[]</f>
        <v>1</v>
      </c>
      <c r="O2">
        <v>0.1</v>
      </c>
      <c r="P2">
        <v>0</v>
      </c>
      <c r="Q2">
        <v>0.1</v>
      </c>
      <c r="R2">
        <v>1</v>
      </c>
      <c r="S2" t="str">
        <v>non</v>
      </c>
      <c r="T2" cm="1">
        <f t="array" ref="T2:Y3">Tirants_hor[]</f>
        <v>1</v>
      </c>
      <c r="U2">
        <v>0</v>
      </c>
      <c r="V2">
        <v>0.1</v>
      </c>
      <c r="W2">
        <v>6</v>
      </c>
      <c r="X2">
        <v>0.1</v>
      </c>
      <c r="Y2" t="str">
        <v>oui</v>
      </c>
      <c r="Z2" cm="1">
        <f t="array" ref="Z2:AE6">Contour_externe[]</f>
        <v>1</v>
      </c>
      <c r="AA2">
        <v>0</v>
      </c>
      <c r="AB2">
        <v>0</v>
      </c>
      <c r="AC2" t="str">
        <v>Position du point</v>
      </c>
      <c r="AD2" t="str">
        <v>cf figure 1</v>
      </c>
      <c r="AE2">
        <v>0</v>
      </c>
      <c r="AF2" cm="1">
        <f t="array" ref="AF2:AI4">Chargement[]</f>
        <v>0</v>
      </c>
      <c r="AG2" t="str">
        <v>effort normal en kN</v>
      </c>
      <c r="AH2" t="str">
        <v>effort tranchant en kN</v>
      </c>
      <c r="AI2" t="str">
        <v>moment en kN/m</v>
      </c>
    </row>
    <row r="3" spans="2:35">
      <c r="B3" t="str">
        <v>Pieu -2</v>
      </c>
      <c r="C3" s="75">
        <v>5</v>
      </c>
      <c r="D3" s="75">
        <v>0</v>
      </c>
      <c r="E3">
        <v>4.7830000000000004</v>
      </c>
      <c r="F3">
        <v>5.2169999999999996</v>
      </c>
      <c r="G3">
        <v>0</v>
      </c>
      <c r="H3" t="str">
        <v>Appui -2</v>
      </c>
      <c r="I3">
        <v>3.6</v>
      </c>
      <c r="J3">
        <v>1</v>
      </c>
      <c r="K3" t="str">
        <v xml:space="preserve">Espacement selon x </v>
      </c>
      <c r="L3">
        <v>0</v>
      </c>
      <c r="M3">
        <v>0</v>
      </c>
      <c r="N3">
        <v>2</v>
      </c>
      <c r="O3">
        <v>1</v>
      </c>
      <c r="P3">
        <v>0</v>
      </c>
      <c r="Q3">
        <v>1</v>
      </c>
      <c r="R3">
        <v>1</v>
      </c>
      <c r="S3" t="str">
        <v>oui</v>
      </c>
      <c r="T3">
        <v>2</v>
      </c>
      <c r="U3">
        <v>0</v>
      </c>
      <c r="V3">
        <v>0.9</v>
      </c>
      <c r="W3">
        <v>6</v>
      </c>
      <c r="X3">
        <v>0.9</v>
      </c>
      <c r="Y3" t="str">
        <v>oui</v>
      </c>
      <c r="Z3">
        <v>2</v>
      </c>
      <c r="AA3">
        <v>6</v>
      </c>
      <c r="AB3">
        <v>0</v>
      </c>
      <c r="AC3" t="str">
        <v>Position du point</v>
      </c>
      <c r="AD3" t="str">
        <v>cf figure 1</v>
      </c>
      <c r="AE3">
        <v>0</v>
      </c>
      <c r="AF3" t="str">
        <v>Pieu -1</v>
      </c>
      <c r="AG3">
        <v>-100</v>
      </c>
      <c r="AH3">
        <v>0</v>
      </c>
      <c r="AI3">
        <v>0</v>
      </c>
    </row>
    <row r="4" spans="2:35">
      <c r="D4" s="75"/>
      <c r="N4">
        <v>3</v>
      </c>
      <c r="O4">
        <v>1.7</v>
      </c>
      <c r="P4">
        <v>0</v>
      </c>
      <c r="Q4">
        <v>1.7</v>
      </c>
      <c r="R4">
        <v>1</v>
      </c>
      <c r="S4" t="str">
        <v>non</v>
      </c>
      <c r="Z4">
        <v>3</v>
      </c>
      <c r="AA4">
        <v>6</v>
      </c>
      <c r="AB4">
        <v>1</v>
      </c>
      <c r="AC4" t="str">
        <v>Position du point</v>
      </c>
      <c r="AD4" t="str">
        <v>cf figure 1</v>
      </c>
      <c r="AE4">
        <v>0</v>
      </c>
      <c r="AF4" t="str">
        <v>Pieu -2</v>
      </c>
      <c r="AG4">
        <v>-100</v>
      </c>
      <c r="AH4">
        <v>0</v>
      </c>
      <c r="AI4">
        <v>0</v>
      </c>
    </row>
    <row r="5" spans="2:35">
      <c r="N5">
        <v>4</v>
      </c>
      <c r="O5">
        <v>2.4</v>
      </c>
      <c r="P5">
        <v>0</v>
      </c>
      <c r="Q5">
        <v>2.4</v>
      </c>
      <c r="R5">
        <v>1</v>
      </c>
      <c r="S5" t="str">
        <v>oui</v>
      </c>
      <c r="Z5">
        <v>4</v>
      </c>
      <c r="AA5">
        <v>0</v>
      </c>
      <c r="AB5">
        <v>1</v>
      </c>
      <c r="AC5" t="str">
        <v>Position du point</v>
      </c>
      <c r="AD5" t="str">
        <v>cf figure 1</v>
      </c>
      <c r="AE5">
        <v>0</v>
      </c>
    </row>
    <row r="6" spans="2:35">
      <c r="N6">
        <v>5</v>
      </c>
      <c r="O6">
        <v>3</v>
      </c>
      <c r="P6">
        <v>0</v>
      </c>
      <c r="Q6">
        <v>3</v>
      </c>
      <c r="R6">
        <v>1</v>
      </c>
      <c r="S6" t="str">
        <v>non</v>
      </c>
      <c r="Z6">
        <v>5</v>
      </c>
      <c r="AA6">
        <v>0</v>
      </c>
      <c r="AB6">
        <v>0</v>
      </c>
      <c r="AC6" t="str">
        <v>Insérer au dessus de cette ligne</v>
      </c>
      <c r="AD6">
        <v>0</v>
      </c>
      <c r="AE6">
        <v>0</v>
      </c>
    </row>
    <row r="7" spans="2:35">
      <c r="N7">
        <v>6</v>
      </c>
      <c r="O7">
        <v>3.6</v>
      </c>
      <c r="P7">
        <v>0</v>
      </c>
      <c r="Q7">
        <v>3.6</v>
      </c>
      <c r="R7">
        <v>1</v>
      </c>
      <c r="S7" t="str">
        <v>oui</v>
      </c>
    </row>
    <row r="8" spans="2:35">
      <c r="N8">
        <v>7</v>
      </c>
      <c r="O8">
        <v>4.3</v>
      </c>
      <c r="P8">
        <v>0</v>
      </c>
      <c r="Q8">
        <v>4.3</v>
      </c>
      <c r="R8">
        <v>1</v>
      </c>
      <c r="S8" t="str">
        <v>non</v>
      </c>
    </row>
    <row r="9" spans="2:35">
      <c r="N9">
        <v>8</v>
      </c>
      <c r="O9">
        <v>5</v>
      </c>
      <c r="P9">
        <v>0</v>
      </c>
      <c r="Q9">
        <v>5</v>
      </c>
      <c r="R9">
        <v>1</v>
      </c>
      <c r="S9" t="str">
        <v>oui</v>
      </c>
    </row>
    <row r="10" spans="2:35">
      <c r="N10">
        <v>9</v>
      </c>
      <c r="O10">
        <v>5.9</v>
      </c>
      <c r="P10">
        <v>0</v>
      </c>
      <c r="Q10">
        <v>5.9</v>
      </c>
      <c r="R10">
        <v>1</v>
      </c>
      <c r="S10" t="str">
        <v>non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84188-7A07-47F9-9996-21988B3FFF8A}">
  <sheetPr codeName="Feuil6">
    <tabColor theme="1"/>
  </sheetPr>
  <dimension ref="B1:K14"/>
  <sheetViews>
    <sheetView workbookViewId="0">
      <selection activeCell="E22" sqref="E22"/>
    </sheetView>
  </sheetViews>
  <sheetFormatPr baseColWidth="10" defaultRowHeight="14.4"/>
  <sheetData>
    <row r="1" spans="2:11">
      <c r="B1" s="355" t="s">
        <v>224</v>
      </c>
      <c r="C1" s="355"/>
      <c r="F1" s="355" t="s">
        <v>225</v>
      </c>
      <c r="G1" s="355"/>
      <c r="H1" t="s">
        <v>238</v>
      </c>
      <c r="I1" s="282"/>
      <c r="J1" s="282"/>
      <c r="K1" s="282"/>
    </row>
    <row r="2" spans="2:11">
      <c r="B2">
        <v>1</v>
      </c>
      <c r="C2">
        <v>0.1</v>
      </c>
      <c r="D2">
        <v>1</v>
      </c>
      <c r="F2">
        <v>1</v>
      </c>
      <c r="G2">
        <v>2</v>
      </c>
    </row>
    <row r="3" spans="2:11">
      <c r="B3">
        <v>1</v>
      </c>
      <c r="C3">
        <v>0.9</v>
      </c>
      <c r="F3">
        <v>3</v>
      </c>
      <c r="G3">
        <v>4</v>
      </c>
    </row>
    <row r="4" spans="2:11">
      <c r="B4">
        <v>2.4</v>
      </c>
      <c r="C4">
        <v>0.1</v>
      </c>
      <c r="F4">
        <v>5</v>
      </c>
      <c r="G4">
        <v>6</v>
      </c>
    </row>
    <row r="5" spans="2:11">
      <c r="B5">
        <v>2.4</v>
      </c>
      <c r="C5">
        <v>0.9</v>
      </c>
      <c r="E5">
        <v>1</v>
      </c>
      <c r="F5">
        <v>7</v>
      </c>
      <c r="G5">
        <v>8</v>
      </c>
    </row>
    <row r="6" spans="2:11">
      <c r="B6">
        <v>3.6</v>
      </c>
      <c r="C6">
        <v>0.1</v>
      </c>
      <c r="F6">
        <v>1</v>
      </c>
      <c r="G6">
        <v>3</v>
      </c>
    </row>
    <row r="7" spans="2:11">
      <c r="B7">
        <v>3.6</v>
      </c>
      <c r="C7">
        <v>0.9</v>
      </c>
      <c r="E7">
        <v>2</v>
      </c>
      <c r="F7">
        <v>3</v>
      </c>
      <c r="G7">
        <v>5</v>
      </c>
    </row>
    <row r="8" spans="2:11">
      <c r="B8">
        <v>5</v>
      </c>
      <c r="C8">
        <v>0.1</v>
      </c>
      <c r="D8">
        <v>2</v>
      </c>
      <c r="F8">
        <v>5</v>
      </c>
      <c r="G8">
        <v>7</v>
      </c>
    </row>
    <row r="9" spans="2:11">
      <c r="B9">
        <v>5</v>
      </c>
      <c r="C9">
        <v>0.9</v>
      </c>
      <c r="F9">
        <v>2</v>
      </c>
      <c r="G9">
        <v>4</v>
      </c>
    </row>
    <row r="10" spans="2:11">
      <c r="F10">
        <v>4</v>
      </c>
      <c r="G10">
        <v>6</v>
      </c>
    </row>
    <row r="11" spans="2:11">
      <c r="F11">
        <v>6</v>
      </c>
      <c r="G11">
        <v>8</v>
      </c>
    </row>
    <row r="12" spans="2:11">
      <c r="F12">
        <v>3</v>
      </c>
      <c r="G12">
        <v>2</v>
      </c>
    </row>
    <row r="13" spans="2:11">
      <c r="F13">
        <v>3</v>
      </c>
      <c r="G13">
        <v>4</v>
      </c>
    </row>
    <row r="14" spans="2:11">
      <c r="F14">
        <v>5</v>
      </c>
      <c r="G14">
        <v>8</v>
      </c>
    </row>
  </sheetData>
  <mergeCells count="2">
    <mergeCell ref="B1:C1"/>
    <mergeCell ref="F1: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dimension ref="A1:J54"/>
  <sheetViews>
    <sheetView workbookViewId="0">
      <selection activeCell="C38" sqref="C38"/>
    </sheetView>
  </sheetViews>
  <sheetFormatPr baseColWidth="10" defaultRowHeight="14.4"/>
  <cols>
    <col min="4" max="4" width="12.33203125" bestFit="1" customWidth="1"/>
    <col min="5" max="5" width="12" bestFit="1" customWidth="1"/>
  </cols>
  <sheetData>
    <row r="1" spans="1:10">
      <c r="A1" t="s">
        <v>150</v>
      </c>
    </row>
    <row r="2" spans="1:10">
      <c r="A2" t="s">
        <v>151</v>
      </c>
      <c r="B2" t="s">
        <v>152</v>
      </c>
      <c r="C2" t="s">
        <v>153</v>
      </c>
      <c r="D2" t="s">
        <v>154</v>
      </c>
      <c r="E2" t="s">
        <v>155</v>
      </c>
    </row>
    <row r="3" spans="1:10">
      <c r="A3">
        <v>1</v>
      </c>
      <c r="B3" t="e">
        <f>(#REF!/2+#REF!)*10^3</f>
        <v>#REF!</v>
      </c>
      <c r="C3" s="76" t="e">
        <f>(#REF! -#REF!) *10^3</f>
        <v>#REF!</v>
      </c>
      <c r="D3">
        <v>279.78515629999998</v>
      </c>
      <c r="E3" s="49">
        <v>3.5999999999999999E-3</v>
      </c>
    </row>
    <row r="4" spans="1:10">
      <c r="A4">
        <v>2</v>
      </c>
      <c r="B4" t="e">
        <f>(-#REF!/4+#REF!/2)*10^3</f>
        <v>#REF!</v>
      </c>
      <c r="C4" s="76" t="e">
        <f>#REF! *10^3</f>
        <v>#REF!</v>
      </c>
      <c r="D4">
        <v>546.38671880000004</v>
      </c>
      <c r="E4" s="49">
        <v>1.8E-3</v>
      </c>
    </row>
    <row r="5" spans="1:10">
      <c r="A5">
        <v>3</v>
      </c>
      <c r="B5" t="e">
        <f>(#REF!/4+#REF!/2)*10^3</f>
        <v>#REF!</v>
      </c>
      <c r="C5" s="76" t="e">
        <f>#REF! *10^3</f>
        <v>#REF!</v>
      </c>
      <c r="D5">
        <v>0</v>
      </c>
    </row>
    <row r="6" spans="1:10">
      <c r="A6">
        <v>4</v>
      </c>
      <c r="B6" t="e">
        <f>(#REF!/2+#REF!)*10^3</f>
        <v>#REF!</v>
      </c>
      <c r="C6" s="76" t="e">
        <f>(#REF! -#REF!) *10^3</f>
        <v>#REF!</v>
      </c>
      <c r="D6">
        <v>0</v>
      </c>
    </row>
    <row r="7" spans="1:10">
      <c r="A7">
        <v>5</v>
      </c>
      <c r="B7" t="e">
        <f>(#REF!/2+#REF!)*10^3</f>
        <v>#REF!</v>
      </c>
      <c r="C7" s="76" t="e">
        <f>C4</f>
        <v>#REF!</v>
      </c>
      <c r="D7">
        <v>0</v>
      </c>
    </row>
    <row r="8" spans="1:10">
      <c r="A8">
        <v>6</v>
      </c>
      <c r="B8" t="e">
        <f>B6</f>
        <v>#REF!</v>
      </c>
      <c r="C8" s="76" t="e">
        <f>C4</f>
        <v>#REF!</v>
      </c>
      <c r="D8">
        <v>0</v>
      </c>
    </row>
    <row r="9" spans="1:10">
      <c r="A9">
        <v>7</v>
      </c>
      <c r="B9" t="e">
        <f>B4</f>
        <v>#REF!</v>
      </c>
      <c r="C9" s="76" t="e">
        <f>C3</f>
        <v>#REF!</v>
      </c>
      <c r="D9">
        <v>0</v>
      </c>
    </row>
    <row r="10" spans="1:10">
      <c r="A10">
        <v>8</v>
      </c>
      <c r="B10" t="e">
        <f>B5</f>
        <v>#REF!</v>
      </c>
      <c r="C10" s="76" t="e">
        <f>C3</f>
        <v>#REF!</v>
      </c>
      <c r="D10">
        <v>0</v>
      </c>
    </row>
    <row r="11" spans="1:10">
      <c r="D11" t="s">
        <v>1</v>
      </c>
    </row>
    <row r="12" spans="1:10">
      <c r="A12" t="s">
        <v>156</v>
      </c>
    </row>
    <row r="13" spans="1:10">
      <c r="A13" t="s">
        <v>151</v>
      </c>
      <c r="B13" t="s">
        <v>157</v>
      </c>
      <c r="C13" t="s">
        <v>158</v>
      </c>
      <c r="D13" t="s">
        <v>159</v>
      </c>
      <c r="E13" t="s">
        <v>160</v>
      </c>
      <c r="F13" t="s">
        <v>161</v>
      </c>
    </row>
    <row r="14" spans="1:10">
      <c r="A14">
        <v>1</v>
      </c>
      <c r="B14" t="e">
        <f>B3</f>
        <v>#REF!</v>
      </c>
      <c r="C14" s="75" t="e">
        <f>C3</f>
        <v>#REF!</v>
      </c>
      <c r="D14" t="e">
        <f>B4</f>
        <v>#REF!</v>
      </c>
      <c r="E14" s="76" t="e">
        <f>C4</f>
        <v>#REF!</v>
      </c>
      <c r="F14" t="e">
        <f>#REF!</f>
        <v>#REF!</v>
      </c>
      <c r="G14" t="s">
        <v>1</v>
      </c>
      <c r="H14" t="s">
        <v>1</v>
      </c>
      <c r="I14" t="s">
        <v>1</v>
      </c>
      <c r="J14" t="s">
        <v>1</v>
      </c>
    </row>
    <row r="15" spans="1:10">
      <c r="A15">
        <v>2</v>
      </c>
      <c r="B15" t="e">
        <f>B5</f>
        <v>#REF!</v>
      </c>
      <c r="C15" t="e">
        <f>C5</f>
        <v>#REF!</v>
      </c>
      <c r="D15" t="e">
        <f>B6</f>
        <v>#REF!</v>
      </c>
      <c r="E15" t="e">
        <f>C6</f>
        <v>#REF!</v>
      </c>
      <c r="F15" t="e">
        <f>#REF!</f>
        <v>#REF!</v>
      </c>
    </row>
    <row r="16" spans="1:10">
      <c r="A16">
        <v>3</v>
      </c>
      <c r="B16" t="e">
        <f>B4</f>
        <v>#REF!</v>
      </c>
      <c r="C16" t="e">
        <f>C4</f>
        <v>#REF!</v>
      </c>
      <c r="D16" t="e">
        <f>B5</f>
        <v>#REF!</v>
      </c>
      <c r="E16" t="e">
        <f>C5</f>
        <v>#REF!</v>
      </c>
      <c r="F16" s="75" t="e">
        <f>-#REF!</f>
        <v>#REF!</v>
      </c>
    </row>
    <row r="18" spans="1:8">
      <c r="A18" t="s">
        <v>162</v>
      </c>
    </row>
    <row r="19" spans="1:8">
      <c r="A19" t="s">
        <v>151</v>
      </c>
      <c r="B19" t="s">
        <v>157</v>
      </c>
      <c r="C19" t="s">
        <v>158</v>
      </c>
      <c r="D19" t="s">
        <v>159</v>
      </c>
      <c r="E19" t="s">
        <v>160</v>
      </c>
      <c r="F19" t="s">
        <v>161</v>
      </c>
      <c r="G19" t="s">
        <v>163</v>
      </c>
    </row>
    <row r="20" spans="1:8">
      <c r="A20">
        <v>1</v>
      </c>
      <c r="B20" t="e">
        <f>B3</f>
        <v>#REF!</v>
      </c>
      <c r="C20" s="76" t="e">
        <f>C3</f>
        <v>#REF!</v>
      </c>
      <c r="D20" t="e">
        <f>B6</f>
        <v>#REF!</v>
      </c>
      <c r="E20" s="76" t="e">
        <f>C6</f>
        <v>#REF!</v>
      </c>
      <c r="F20" s="75" t="e">
        <f>-#REF!</f>
        <v>#REF!</v>
      </c>
    </row>
    <row r="21" spans="1:8">
      <c r="A21">
        <v>2</v>
      </c>
      <c r="B21" t="e">
        <f>B$3</f>
        <v>#REF!</v>
      </c>
      <c r="C21" s="76" t="e">
        <f>$C$4</f>
        <v>#REF!</v>
      </c>
      <c r="D21" t="e">
        <f>B$3</f>
        <v>#REF!</v>
      </c>
      <c r="E21" s="76" t="e">
        <f>C$3</f>
        <v>#REF!</v>
      </c>
      <c r="F21" s="75" t="e">
        <f>ABS(F$33)</f>
        <v>#REF!</v>
      </c>
      <c r="G21" t="e">
        <f>#REF!</f>
        <v>#REF!</v>
      </c>
    </row>
    <row r="22" spans="1:8">
      <c r="A22">
        <v>3</v>
      </c>
      <c r="B22" t="e">
        <f>B$6</f>
        <v>#REF!</v>
      </c>
      <c r="C22" s="76" t="e">
        <f>C$4</f>
        <v>#REF!</v>
      </c>
      <c r="D22" t="e">
        <f>B$6</f>
        <v>#REF!</v>
      </c>
      <c r="E22" s="76" t="e">
        <f>C$6</f>
        <v>#REF!</v>
      </c>
      <c r="F22" s="75" t="e">
        <f>ABS(F$34)</f>
        <v>#REF!</v>
      </c>
      <c r="G22" t="e">
        <f>#REF!</f>
        <v>#REF!</v>
      </c>
    </row>
    <row r="23" spans="1:8">
      <c r="A23">
        <v>4</v>
      </c>
      <c r="B23" t="e">
        <f>B38</f>
        <v>#REF!</v>
      </c>
      <c r="C23" s="76" t="e">
        <f>$C$4</f>
        <v>#REF!</v>
      </c>
      <c r="D23" t="e">
        <f>B38</f>
        <v>#REF!</v>
      </c>
      <c r="E23" s="76" t="e">
        <f>C$3</f>
        <v>#REF!</v>
      </c>
      <c r="F23" s="75" t="e">
        <f>ABS(F$33)</f>
        <v>#REF!</v>
      </c>
      <c r="G23" t="e">
        <f>#REF!</f>
        <v>#REF!</v>
      </c>
    </row>
    <row r="24" spans="1:8">
      <c r="A24">
        <v>5</v>
      </c>
      <c r="B24" t="e">
        <f>B39</f>
        <v>#REF!</v>
      </c>
      <c r="C24" s="76" t="e">
        <f>C$4</f>
        <v>#REF!</v>
      </c>
      <c r="D24" t="e">
        <f>B39</f>
        <v>#REF!</v>
      </c>
      <c r="E24" s="76" t="e">
        <f>C$6</f>
        <v>#REF!</v>
      </c>
      <c r="F24" s="75" t="e">
        <f>ABS(F$34)</f>
        <v>#REF!</v>
      </c>
      <c r="G24" t="e">
        <f>#REF!</f>
        <v>#REF!</v>
      </c>
    </row>
    <row r="26" spans="1:8">
      <c r="A26" t="s">
        <v>164</v>
      </c>
    </row>
    <row r="27" spans="1:8">
      <c r="A27" t="s">
        <v>151</v>
      </c>
      <c r="B27" t="s">
        <v>157</v>
      </c>
      <c r="C27" t="s">
        <v>158</v>
      </c>
      <c r="D27" t="s">
        <v>159</v>
      </c>
      <c r="E27" t="s">
        <v>160</v>
      </c>
      <c r="F27" t="s">
        <v>165</v>
      </c>
      <c r="G27" t="s">
        <v>166</v>
      </c>
    </row>
    <row r="28" spans="1:8">
      <c r="A28">
        <v>1</v>
      </c>
      <c r="B28">
        <v>0</v>
      </c>
      <c r="C28" s="76" t="e">
        <f>C20</f>
        <v>#REF!</v>
      </c>
      <c r="D28" t="e">
        <f>#REF!*10^3</f>
        <v>#REF!</v>
      </c>
      <c r="E28" s="76" t="e">
        <f>E20</f>
        <v>#REF!</v>
      </c>
      <c r="F28" s="75" t="e">
        <f>#REF!</f>
        <v>#REF!</v>
      </c>
      <c r="G28" s="49">
        <f>'Input data'!C156</f>
        <v>0</v>
      </c>
    </row>
    <row r="29" spans="1:8">
      <c r="A29">
        <v>2</v>
      </c>
      <c r="B29">
        <v>0</v>
      </c>
      <c r="C29" s="76" t="e">
        <f>(#REF!) *10^3</f>
        <v>#REF!</v>
      </c>
      <c r="D29" t="e">
        <f>#REF!*10^3</f>
        <v>#REF!</v>
      </c>
      <c r="E29" s="76" t="e">
        <f>(#REF!*10^3)</f>
        <v>#REF!</v>
      </c>
      <c r="F29" s="75" t="e">
        <f>#REF!</f>
        <v>#REF!</v>
      </c>
      <c r="G29" s="50">
        <v>0</v>
      </c>
    </row>
    <row r="31" spans="1:8">
      <c r="A31" t="s">
        <v>167</v>
      </c>
    </row>
    <row r="32" spans="1:8">
      <c r="A32" t="s">
        <v>151</v>
      </c>
      <c r="B32" t="s">
        <v>152</v>
      </c>
      <c r="C32" t="s">
        <v>153</v>
      </c>
      <c r="D32" t="s">
        <v>168</v>
      </c>
      <c r="E32" t="s">
        <v>169</v>
      </c>
      <c r="F32" t="s">
        <v>170</v>
      </c>
      <c r="G32" t="s">
        <v>171</v>
      </c>
      <c r="H32" t="s">
        <v>163</v>
      </c>
    </row>
    <row r="33" spans="1:8">
      <c r="A33">
        <v>1</v>
      </c>
      <c r="B33" t="e">
        <f>B3</f>
        <v>#REF!</v>
      </c>
      <c r="C33" t="e">
        <f>#REF!*10^3</f>
        <v>#REF!</v>
      </c>
      <c r="D33">
        <v>0</v>
      </c>
      <c r="E33">
        <v>1</v>
      </c>
      <c r="F33" s="75" t="e">
        <f>#REF!</f>
        <v>#REF!</v>
      </c>
      <c r="G33">
        <v>5</v>
      </c>
      <c r="H33" t="e">
        <f>#REF!</f>
        <v>#REF!</v>
      </c>
    </row>
    <row r="34" spans="1:8">
      <c r="A34">
        <v>2</v>
      </c>
      <c r="B34" t="e">
        <f>B6</f>
        <v>#REF!</v>
      </c>
      <c r="C34" t="e">
        <f>#REF!*10^3</f>
        <v>#REF!</v>
      </c>
      <c r="D34">
        <v>0</v>
      </c>
      <c r="E34">
        <v>1</v>
      </c>
      <c r="F34" s="75" t="e">
        <f>#REF!</f>
        <v>#REF!</v>
      </c>
      <c r="G34">
        <v>6</v>
      </c>
      <c r="H34" t="e">
        <f>#REF!</f>
        <v>#REF!</v>
      </c>
    </row>
    <row r="36" spans="1:8">
      <c r="A36" t="s">
        <v>172</v>
      </c>
    </row>
    <row r="37" spans="1:8">
      <c r="A37" t="s">
        <v>151</v>
      </c>
      <c r="B37" t="s">
        <v>152</v>
      </c>
      <c r="C37" t="s">
        <v>153</v>
      </c>
      <c r="D37" t="s">
        <v>168</v>
      </c>
      <c r="E37" t="s">
        <v>169</v>
      </c>
      <c r="F37" t="s">
        <v>170</v>
      </c>
      <c r="G37" t="s">
        <v>171</v>
      </c>
      <c r="H37" t="s">
        <v>163</v>
      </c>
    </row>
    <row r="38" spans="1:8">
      <c r="A38">
        <v>1</v>
      </c>
      <c r="B38" t="e">
        <f>B4</f>
        <v>#REF!</v>
      </c>
      <c r="C38">
        <v>0</v>
      </c>
      <c r="D38">
        <v>0</v>
      </c>
      <c r="E38">
        <v>-1</v>
      </c>
      <c r="F38" t="e">
        <f>#REF!</f>
        <v>#REF!</v>
      </c>
      <c r="G38">
        <v>7</v>
      </c>
      <c r="H38" t="e">
        <f>#REF!</f>
        <v>#REF!</v>
      </c>
    </row>
    <row r="39" spans="1:8">
      <c r="A39">
        <v>2</v>
      </c>
      <c r="B39" t="e">
        <f>B5</f>
        <v>#REF!</v>
      </c>
      <c r="C39">
        <v>0</v>
      </c>
      <c r="D39">
        <v>0</v>
      </c>
      <c r="E39">
        <v>-1</v>
      </c>
      <c r="F39" t="e">
        <f>#REF!</f>
        <v>#REF!</v>
      </c>
      <c r="G39">
        <v>8</v>
      </c>
      <c r="H39" t="e">
        <f>#REF!</f>
        <v>#REF!</v>
      </c>
    </row>
    <row r="41" spans="1:8">
      <c r="A41" t="s">
        <v>173</v>
      </c>
    </row>
    <row r="42" spans="1:8">
      <c r="A42" t="s">
        <v>151</v>
      </c>
      <c r="B42" t="s">
        <v>157</v>
      </c>
      <c r="C42" t="s">
        <v>158</v>
      </c>
      <c r="D42" t="s">
        <v>159</v>
      </c>
      <c r="E42" t="s">
        <v>160</v>
      </c>
    </row>
    <row r="43" spans="1:8">
      <c r="A43">
        <v>1</v>
      </c>
      <c r="B43">
        <v>0</v>
      </c>
      <c r="C43">
        <v>0</v>
      </c>
      <c r="D43">
        <v>0</v>
      </c>
      <c r="E43" s="76" t="e">
        <f>#REF!*10^3</f>
        <v>#REF!</v>
      </c>
    </row>
    <row r="44" spans="1:8">
      <c r="A44">
        <v>2</v>
      </c>
      <c r="B44">
        <v>0</v>
      </c>
      <c r="C44" s="76" t="e">
        <f>#REF!*10^3</f>
        <v>#REF!</v>
      </c>
      <c r="D44" t="e">
        <f>#REF!*10^3</f>
        <v>#REF!</v>
      </c>
      <c r="E44" s="76" t="e">
        <f>#REF!*10^3</f>
        <v>#REF!</v>
      </c>
    </row>
    <row r="45" spans="1:8">
      <c r="A45">
        <v>3</v>
      </c>
      <c r="B45" t="e">
        <f>#REF!*10^3</f>
        <v>#REF!</v>
      </c>
      <c r="C45" s="76" t="e">
        <f>#REF!*10^3</f>
        <v>#REF!</v>
      </c>
      <c r="D45" t="e">
        <f>#REF!*10^3</f>
        <v>#REF!</v>
      </c>
      <c r="E45">
        <v>0</v>
      </c>
    </row>
    <row r="46" spans="1:8">
      <c r="A46">
        <v>4</v>
      </c>
      <c r="B46" t="e">
        <f>#REF!*10^3</f>
        <v>#REF!</v>
      </c>
      <c r="C46">
        <v>0</v>
      </c>
      <c r="D46">
        <v>0</v>
      </c>
      <c r="E46">
        <v>0</v>
      </c>
    </row>
    <row r="49" spans="1:2">
      <c r="A49" t="s">
        <v>174</v>
      </c>
    </row>
    <row r="50" spans="1:2">
      <c r="A50" t="s">
        <v>175</v>
      </c>
      <c r="B50" t="s">
        <v>176</v>
      </c>
    </row>
    <row r="51" spans="1:2">
      <c r="A51" t="s">
        <v>72</v>
      </c>
      <c r="B51">
        <f>'Input data'!fck</f>
        <v>30</v>
      </c>
    </row>
    <row r="52" spans="1:2">
      <c r="A52" t="s">
        <v>177</v>
      </c>
      <c r="B52">
        <f>'Input data'!alphaULS</f>
        <v>1</v>
      </c>
    </row>
    <row r="53" spans="1:2">
      <c r="A53" t="s">
        <v>178</v>
      </c>
      <c r="B53">
        <f>'Input data'!gammaC_ULS</f>
        <v>1.5</v>
      </c>
    </row>
    <row r="54" spans="1:2">
      <c r="A54" t="s">
        <v>50</v>
      </c>
      <c r="B54">
        <f>'Input data'!beff_pilecap</f>
        <v>0.434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36</vt:i4>
      </vt:variant>
    </vt:vector>
  </HeadingPairs>
  <TitlesOfParts>
    <vt:vector size="45" baseType="lpstr">
      <vt:lpstr>Notice</vt:lpstr>
      <vt:lpstr>Input data</vt:lpstr>
      <vt:lpstr>Armatures</vt:lpstr>
      <vt:lpstr>Bielles</vt:lpstr>
      <vt:lpstr>TMP_TIRANTS</vt:lpstr>
      <vt:lpstr>Input Sofistik</vt:lpstr>
      <vt:lpstr>TMP_BIELLES</vt:lpstr>
      <vt:lpstr>TMP_BT</vt:lpstr>
      <vt:lpstr>python_traction</vt:lpstr>
      <vt:lpstr>'Input data'!alphaULS</vt:lpstr>
      <vt:lpstr>'Input data'!b_pilecap</vt:lpstr>
      <vt:lpstr>'Input data'!beff_pilecap</vt:lpstr>
      <vt:lpstr>'Input data'!calcul</vt:lpstr>
      <vt:lpstr>'Input data'!D_pile</vt:lpstr>
      <vt:lpstr>'Input data'!d_pilecap</vt:lpstr>
      <vt:lpstr>'Input data'!dx</vt:lpstr>
      <vt:lpstr>'Input data'!fcd_ACCIDENTAL</vt:lpstr>
      <vt:lpstr>'Input data'!fcd_SEISMIC</vt:lpstr>
      <vt:lpstr>'Input data'!fcd_SERVICE</vt:lpstr>
      <vt:lpstr>'Input data'!fcd_ULS</vt:lpstr>
      <vt:lpstr>'Input data'!fck</vt:lpstr>
      <vt:lpstr>'Input data'!fctm</vt:lpstr>
      <vt:lpstr>'Input data'!fyd_ACCIDENTAL</vt:lpstr>
      <vt:lpstr>'Input data'!fyd_SEISMIC</vt:lpstr>
      <vt:lpstr>'Input data'!fyd_SERVICE</vt:lpstr>
      <vt:lpstr>'Input data'!fyd_ULS</vt:lpstr>
      <vt:lpstr>'Input data'!fyk</vt:lpstr>
      <vt:lpstr>'Input data'!gammaC_ACCIDENTAL</vt:lpstr>
      <vt:lpstr>'Input data'!gammaC_SEISMIC</vt:lpstr>
      <vt:lpstr>'Input data'!gammaC_SERVICE</vt:lpstr>
      <vt:lpstr>'Input data'!gammaC_ULS</vt:lpstr>
      <vt:lpstr>'Input data'!gammaS_ACCIDENTAL</vt:lpstr>
      <vt:lpstr>'Input data'!gammaS_SEISMIC</vt:lpstr>
      <vt:lpstr>'Input data'!gammaS_SERVICE</vt:lpstr>
      <vt:lpstr>'Input data'!gammaS_ULS</vt:lpstr>
      <vt:lpstr>'Input data'!h_pilecap</vt:lpstr>
      <vt:lpstr>'Input data'!l_pilecap</vt:lpstr>
      <vt:lpstr>'Input data'!Matrix_sigma1</vt:lpstr>
      <vt:lpstr>'Input data'!Matrix_sigma3</vt:lpstr>
      <vt:lpstr>'Input data'!ModelType</vt:lpstr>
      <vt:lpstr>'Input data'!nb_decomp</vt:lpstr>
      <vt:lpstr>'Input data'!nb_pile</vt:lpstr>
      <vt:lpstr>'Input data'!theta_sigma1</vt:lpstr>
      <vt:lpstr>'Input data'!x_pile</vt:lpstr>
      <vt:lpstr>'Input data'!Zone_d_impression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VIVIER Aurelie</dc:creator>
  <cp:lastModifiedBy>Arthur De Bigault De Granrut</cp:lastModifiedBy>
  <dcterms:created xsi:type="dcterms:W3CDTF">2016-10-10T12:55:33Z</dcterms:created>
  <dcterms:modified xsi:type="dcterms:W3CDTF">2026-02-06T09:39:31Z</dcterms:modified>
</cp:coreProperties>
</file>